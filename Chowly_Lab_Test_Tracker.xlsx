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<sst xmlns="http://schemas.openxmlformats.org/spreadsheetml/2006/main" count="520" uniqueCount="350">
  <si>
    <t xml:space="preserve">Chowly Data Engineering: Lab Test Tracker</t>
  </si>
  <si>
    <t xml:space="preserve">What this is: every test case from every lab and the capstone, in one place, with a status for each.</t>
  </si>
  <si>
    <t xml:space="preserve">Which cells to edit: only the yellow columns on the 'Test Cases' sheet (Result, Evidence, Notes). Everything else is fixed.</t>
  </si>
  <si>
    <t xml:space="preserve">Result values: PASS, FAIL, BLOCKED or NOT RUN. Pick from the dropdown. Every row starts as NOT RUN.</t>
  </si>
  <si>
    <t xml:space="preserve">Honesty rule: never mark PASS for something you did not observe. A FAIL with a good note is better than a PASS you cannot show.</t>
  </si>
  <si>
    <t xml:space="preserve">The 'Summary' sheet counts results by lab with formulas. Do not type over it.</t>
  </si>
  <si>
    <t xml:space="preserve">Example of a filled row (for illustration only, it is not counted):</t>
  </si>
  <si>
    <t xml:space="preserve">Lab</t>
  </si>
  <si>
    <t xml:space="preserve">ID</t>
  </si>
  <si>
    <t xml:space="preserve">Scenario</t>
  </si>
  <si>
    <t xml:space="preserve">Result</t>
  </si>
  <si>
    <t xml:space="preserve">Evidence</t>
  </si>
  <si>
    <t xml:space="preserve">Notes</t>
  </si>
  <si>
    <t xml:space="preserve">Lab 4</t>
  </si>
  <si>
    <t xml:space="preserve">L4-T8</t>
  </si>
  <si>
    <t xml:space="preserve">Double run does not double</t>
  </si>
  <si>
    <t xml:space="preserve">PASS</t>
  </si>
  <si>
    <t xml:space="preserve">https://github.com/you/chowly/commit/abc123</t>
  </si>
  <si>
    <t xml:space="preserve">Ran the Gold load twice, fact_order stayed at the same count.</t>
  </si>
  <si>
    <t xml:space="preserve">How to test</t>
  </si>
  <si>
    <t xml:space="preserve">Expected result</t>
  </si>
  <si>
    <t xml:space="preserve">Lab 0</t>
  </si>
  <si>
    <t xml:space="preserve">L0-T1</t>
  </si>
  <si>
    <t xml:space="preserve">Notebook runs</t>
  </si>
  <si>
    <t xml:space="preserve">Run the smoke test notebook from the setup guide.</t>
  </si>
  <si>
    <t xml:space="preserve">It prints 1 and creates a table named `smoke_test`.</t>
  </si>
  <si>
    <t xml:space="preserve">NOT RUN</t>
  </si>
  <si>
    <t xml:space="preserve">L0-T2</t>
  </si>
  <si>
    <t xml:space="preserve">SQL endpoint sees the lakehouse table</t>
  </si>
  <si>
    <t xml:space="preserve">Open the SQL analytics endpoint and run `SELECT * FROM smoke_test`. If it is missing, wait a minute and refresh.</t>
  </si>
  <si>
    <t xml:space="preserve">One row: item_id 1, name Jollof Rice.</t>
  </si>
  <si>
    <t xml:space="preserve">L0-T3</t>
  </si>
  <si>
    <t xml:space="preserve">Warehouse runs SQL</t>
  </si>
  <si>
    <t xml:space="preserve">In `wh_chowly` run `SELECT 1 AS it_works;`</t>
  </si>
  <si>
    <t xml:space="preserve">Returns one row.</t>
  </si>
  <si>
    <t xml:space="preserve">L0-T4</t>
  </si>
  <si>
    <t xml:space="preserve">Git is connected</t>
  </si>
  <si>
    <t xml:space="preserve">Commit a change from Fabric or push your exported notebook.</t>
  </si>
  <si>
    <t xml:space="preserve">The commit appears in your GitHub fork.</t>
  </si>
  <si>
    <t xml:space="preserve">L0-T5</t>
  </si>
  <si>
    <t xml:space="preserve">Names are exact</t>
  </si>
  <si>
    <t xml:space="preserve">List the items in your workspace.</t>
  </si>
  <si>
    <t xml:space="preserve">`lh_chowly` and `wh_chowly` exist with those exact names.</t>
  </si>
  <si>
    <t xml:space="preserve">Lab 1</t>
  </si>
  <si>
    <t xml:space="preserve">L1-T1</t>
  </si>
  <si>
    <t xml:space="preserve">Complaint reaches MongoDB</t>
  </si>
  <si>
    <t xml:space="preserve">Submit a complaint with a rating in the app.</t>
  </si>
  <si>
    <t xml:space="preserve">One document in `complaints` with the fields in the contract, including the nested `meta` object.</t>
  </si>
  <si>
    <t xml:space="preserve">L1-T2</t>
  </si>
  <si>
    <t xml:space="preserve">Order event trail</t>
  </si>
  <si>
    <t xml:space="preserve">Take one order from placed to paid.</t>
  </si>
  <si>
    <t xml:space="preserve">Four documents in `order_events` (PLACED, ASSIGNED, SERVED, PAID) in time order, and each time agrees with the timestamp on the order in SQL.</t>
  </si>
  <si>
    <t xml:space="preserve">L1-T3</t>
  </si>
  <si>
    <t xml:space="preserve">Uploaded file stays untouched</t>
  </si>
  <si>
    <t xml:space="preserve">Upload `supplier_prices_2026-05-04.csv`. Compare its checksum with the original.</t>
  </si>
  <si>
    <t xml:space="preserve">Checksums are identical. The file is stored under the filename contract.</t>
  </si>
  <si>
    <t xml:space="preserve">L1-T4</t>
  </si>
  <si>
    <t xml:space="preserve">Bad uploads are refused</t>
  </si>
  <si>
    <t xml:space="preserve">Try a `.pdf` as the roster, an empty CSV, and a file over your size limit.</t>
  </si>
  <si>
    <t xml:space="preserve">All three are refused with a clear message and create no `file_uploads` row.</t>
  </si>
  <si>
    <t xml:space="preserve">L1-T5</t>
  </si>
  <si>
    <t xml:space="preserve">Upload is logged</t>
  </si>
  <si>
    <t xml:space="preserve">Upload the roster Excel file.</t>
  </si>
  <si>
    <t xml:space="preserve">A row in `file_uploads` with file name, type, role, time, size and path.</t>
  </si>
  <si>
    <t xml:space="preserve">L1-T6</t>
  </si>
  <si>
    <t xml:space="preserve">API failure does not break ordering</t>
  </si>
  <si>
    <t xml:space="preserve">Turn off your internet, reload the Manager page, and place an order.</t>
  </si>
  <si>
    <t xml:space="preserve">The banner says weather is unavailable, `source_status` is not `ok`, and the order still works.</t>
  </si>
  <si>
    <t xml:space="preserve">L1-T7</t>
  </si>
  <si>
    <t xml:space="preserve">API answer is cached</t>
  </si>
  <si>
    <t xml:space="preserve">Load the Manager page five times in a minute and check your logs.</t>
  </si>
  <si>
    <t xml:space="preserve">One outbound call to each API, not five.</t>
  </si>
  <si>
    <t xml:space="preserve">L1-T8</t>
  </si>
  <si>
    <t xml:space="preserve">Orphan complaint</t>
  </si>
  <si>
    <t xml:space="preserve">Submit a complaint for order id 999999.</t>
  </si>
  <si>
    <t xml:space="preserve">Your app refuses it, or stores it flagged. Write down which you chose and why. (You will meet this again on Day 8.)</t>
  </si>
  <si>
    <t xml:space="preserve">L1-T9</t>
  </si>
  <si>
    <t xml:space="preserve">Price history survives</t>
  </si>
  <si>
    <t xml:space="preserve">Change a menu price after an order exists.</t>
  </si>
  <si>
    <t xml:space="preserve">The old order line still shows the old `unit_price`, and `menu_price_history` has two rows for that item.</t>
  </si>
  <si>
    <t xml:space="preserve">L1-T10</t>
  </si>
  <si>
    <t xml:space="preserve">Wait time is computable</t>
  </si>
  <si>
    <t xml:space="preserve">Run a query for one order: `served_at - placed_at`.</t>
  </si>
  <si>
    <t xml:space="preserve">A sensible number of minutes, no NULLs for a served order.</t>
  </si>
  <si>
    <t xml:space="preserve">L1-T11</t>
  </si>
  <si>
    <t xml:space="preserve">Reference sources loaded</t>
  </si>
  <si>
    <t xml:space="preserve">Follow `docs/02_source_systems_setup.md`, then count rows.</t>
  </si>
  <si>
    <t xml:space="preserve">Postgres: staff 9, menu_items 24, menu_price_history 27, orders 3,839, order_items 12,004, payments 3,804. MongoDB: complaints 276, order_events 15,216.</t>
  </si>
  <si>
    <t xml:space="preserve">L1-T12</t>
  </si>
  <si>
    <t xml:space="preserve">OLTP audit</t>
  </si>
  <si>
    <t xml:space="preserve">Run the hourly orders query from Part D with timing on.</t>
  </si>
  <si>
    <t xml:space="preserve">You recorded a time and answered the four audit questions in `docs/oltp_audit.md`.</t>
  </si>
  <si>
    <t xml:space="preserve">Lab 2</t>
  </si>
  <si>
    <t xml:space="preserve">L2-T1</t>
  </si>
  <si>
    <t xml:space="preserve">Grain is written down</t>
  </si>
  <si>
    <t xml:space="preserve">Open your SQL file.</t>
  </si>
  <si>
    <t xml:space="preserve">A comment above every fact table saying 'One row = ...'.</t>
  </si>
  <si>
    <t xml:space="preserve">L2-T2</t>
  </si>
  <si>
    <t xml:space="preserve">History query works</t>
  </si>
  <si>
    <t xml:space="preserve">Insert two Jollof Rice price rows (May 3,500; June onward 4,000). Query the price valid on 2026-06-01 and on 2026-07-01.</t>
  </si>
  <si>
    <t xml:space="preserve">The two dates return different prices.</t>
  </si>
  <si>
    <t xml:space="preserve">L2-T3</t>
  </si>
  <si>
    <t xml:space="preserve">Only one current row</t>
  </si>
  <si>
    <t xml:space="preserve">Query for items with more than one `is_current = 1` row.</t>
  </si>
  <si>
    <t xml:space="preserve">Zero rows returned.</t>
  </si>
  <si>
    <t xml:space="preserve">L2-T4</t>
  </si>
  <si>
    <t xml:space="preserve">No overlapping validity</t>
  </si>
  <si>
    <t xml:space="preserve">Query for two rows of the same item whose date ranges overlap.</t>
  </si>
  <si>
    <t xml:space="preserve">L2-T5</t>
  </si>
  <si>
    <t xml:space="preserve">Grain mistake is understood</t>
  </si>
  <si>
    <t xml:space="preserve">Using three orders and five lines, compute average wait per order and per line.</t>
  </si>
  <si>
    <t xml:space="preserve">Two different numbers, and a sentence saying which is correct and why.</t>
  </si>
  <si>
    <t xml:space="preserve">L2-T6</t>
  </si>
  <si>
    <t xml:space="preserve">Role-playing dimension</t>
  </si>
  <si>
    <t xml:space="preserve">Show how one staff dimension serves waiter, chef and bartender.</t>
  </si>
  <si>
    <t xml:space="preserve">`fact_order` has three staff keys pointing to `dim_staff`.</t>
  </si>
  <si>
    <t xml:space="preserve">L2-T7</t>
  </si>
  <si>
    <t xml:space="preserve">Every question has a join path</t>
  </si>
  <si>
    <t xml:space="preserve">For each of the four manager questions, write the tables and joins you would use.</t>
  </si>
  <si>
    <t xml:space="preserve">All four are answerable from your schema with joins only (no subqueries on raw tables).</t>
  </si>
  <si>
    <t xml:space="preserve">Lab 3</t>
  </si>
  <si>
    <t xml:space="preserve">L3-T1</t>
  </si>
  <si>
    <t xml:space="preserve">Bronze row counts match the sources</t>
  </si>
  <si>
    <t xml:space="preserve">Count rows in every Bronze table and compare with its source.</t>
  </si>
  <si>
    <t xml:space="preserve">orders 3,839; order_items 12,004; payments 3,804; menu_items 24; menu_price_history 27; staff 9; complaints 276; order_events 15,216; supplier_prices 152; stock_counts 4; staff_roster 10; weather_daily 123 (fallback file).</t>
  </si>
  <si>
    <t xml:space="preserve">L3-T2</t>
  </si>
  <si>
    <t xml:space="preserve">Bronze is untouched</t>
  </si>
  <si>
    <t xml:space="preserve">Count `bronze_orders` rows and distinct order ids.</t>
  </si>
  <si>
    <t xml:space="preserve">The row count includes the duplicate rows. You did not clean anything.</t>
  </si>
  <si>
    <t xml:space="preserve">L3-T3</t>
  </si>
  <si>
    <t xml:space="preserve">Rerun does not double</t>
  </si>
  <si>
    <t xml:space="preserve">Run your ingest a second time.</t>
  </si>
  <si>
    <t xml:space="preserve">Counts are the same as after the first run.</t>
  </si>
  <si>
    <t xml:space="preserve">L3-T4</t>
  </si>
  <si>
    <t xml:space="preserve">API outage</t>
  </si>
  <si>
    <t xml:space="preserve">Break the API URL on purpose and run the notebook.</t>
  </si>
  <si>
    <t xml:space="preserve">The fallback file is used, `bronze_weather_daily` still has 123 rows, and `_source` says `fallback-file`.</t>
  </si>
  <si>
    <t xml:space="preserve">L3-T5</t>
  </si>
  <si>
    <t xml:space="preserve">Malformed file</t>
  </si>
  <si>
    <t xml:space="preserve">Add a supplier file where a price says `N/A` and run the ingest.</t>
  </si>
  <si>
    <t xml:space="preserve">The pipeline does not fail. The bad value is visible in Bronze as text.</t>
  </si>
  <si>
    <t xml:space="preserve">L3-T6</t>
  </si>
  <si>
    <t xml:space="preserve">New weekly file is picked up</t>
  </si>
  <si>
    <t xml:space="preserve">Add `supplier_prices_2026-09-07.csv` with 8 rows.</t>
  </si>
  <si>
    <t xml:space="preserve">Supplier Bronze count becomes 160 without changing any code.</t>
  </si>
  <si>
    <t xml:space="preserve">L3-T7</t>
  </si>
  <si>
    <t xml:space="preserve">Bookkeeping columns exist</t>
  </si>
  <si>
    <t xml:space="preserve">Inspect the schema of any Bronze table.</t>
  </si>
  <si>
    <t xml:space="preserve">`_ingested_at`, `_source` and (for files) `_source_file` exist.</t>
  </si>
  <si>
    <t xml:space="preserve">L3-T8</t>
  </si>
  <si>
    <t xml:space="preserve">Nested JSON is preserved</t>
  </si>
  <si>
    <t xml:space="preserve">Print the schema of `bronze_complaints`.</t>
  </si>
  <si>
    <t xml:space="preserve">The `meta` field is still a nested struct.</t>
  </si>
  <si>
    <t xml:space="preserve">L3-T9</t>
  </si>
  <si>
    <t xml:space="preserve">ETL one, ELT the rest</t>
  </si>
  <si>
    <t xml:space="preserve">Compare your Dataflow Gen2 roster load with your notebook load.</t>
  </si>
  <si>
    <t xml:space="preserve">Both produce the same 10 roster rows; you wrote five lines on which was easier.</t>
  </si>
  <si>
    <t xml:space="preserve">L4-T1</t>
  </si>
  <si>
    <t xml:space="preserve">Nothing is lost</t>
  </si>
  <si>
    <t xml:space="preserve">For orders, add Silver and quarantine row counts.</t>
  </si>
  <si>
    <t xml:space="preserve">Silver plus quarantine equals the number of distinct orders in Bronze.</t>
  </si>
  <si>
    <t xml:space="preserve">L4-T2</t>
  </si>
  <si>
    <t xml:space="preserve">Silver reruns cleanly</t>
  </si>
  <si>
    <t xml:space="preserve">Run the Silver notebook twice.</t>
  </si>
  <si>
    <t xml:space="preserve">The same counts both times.</t>
  </si>
  <si>
    <t xml:space="preserve">L4-T3</t>
  </si>
  <si>
    <t xml:space="preserve">NULL is not silently passed</t>
  </si>
  <si>
    <t xml:space="preserve">Put a row with a NULL quantity through your rule.</t>
  </si>
  <si>
    <t xml:space="preserve">It goes to quarantine, with the rule name recorded.</t>
  </si>
  <si>
    <t xml:space="preserve">L4-T4</t>
  </si>
  <si>
    <t xml:space="preserve">Cascade is visible</t>
  </si>
  <si>
    <t xml:space="preserve">Count quarantined order items whose parent order is also quarantined.</t>
  </si>
  <si>
    <t xml:space="preserve">You can state how many quarantined children are not bad themselves.</t>
  </si>
  <si>
    <t xml:space="preserve">L4-T5</t>
  </si>
  <si>
    <t xml:space="preserve">Gold reconciles</t>
  </si>
  <si>
    <t xml:space="preserve">Compare the sum of line amounts with the sum of order totals.</t>
  </si>
  <si>
    <t xml:space="preserve">The two sums are equal.</t>
  </si>
  <si>
    <t xml:space="preserve">L4-T6</t>
  </si>
  <si>
    <t xml:space="preserve">History in the join</t>
  </si>
  <si>
    <t xml:space="preserve">Check Jollof Rice lines placed before and after 15 June.</t>
  </si>
  <si>
    <t xml:space="preserve">Lines before use the 3,500 price period, lines after use 4,000.</t>
  </si>
  <si>
    <t xml:space="preserve">L4-T7</t>
  </si>
  <si>
    <t xml:space="preserve">Incremental works</t>
  </si>
  <si>
    <t xml:space="preserve">Update one order in Postgres, rerun the pipeline.</t>
  </si>
  <si>
    <t xml:space="preserve">Exactly one `fact_order` row changes and the watermark moves forward.</t>
  </si>
  <si>
    <t xml:space="preserve">Run the Gold load twice in a row.</t>
  </si>
  <si>
    <t xml:space="preserve">`fact_order` has the same row count after the second run.</t>
  </si>
  <si>
    <t xml:space="preserve">L4-T9</t>
  </si>
  <si>
    <t xml:space="preserve">Late update is caught</t>
  </si>
  <si>
    <t xml:space="preserve">Change an old order in Postgres so its `updated_at` is newer than the watermark.</t>
  </si>
  <si>
    <t xml:space="preserve">The next run picks it up.</t>
  </si>
  <si>
    <t xml:space="preserve">Lab 5</t>
  </si>
  <si>
    <t xml:space="preserve">L5-T1</t>
  </si>
  <si>
    <t xml:space="preserve">Profile covers four tables</t>
  </si>
  <si>
    <t xml:space="preserve">Open `docs/data_quality_report.md`.</t>
  </si>
  <si>
    <t xml:space="preserve">Row count, null counts, distinct keys, min/max and duplicate keys for orders, order_items, payments and complaints.</t>
  </si>
  <si>
    <t xml:space="preserve">L5-T2</t>
  </si>
  <si>
    <t xml:space="preserve">Rules catch what they should</t>
  </si>
  <si>
    <t xml:space="preserve">List each rule with the number of rows it caught.</t>
  </si>
  <si>
    <t xml:space="preserve">At least eight rules, each with a count and an action.</t>
  </si>
  <si>
    <t xml:space="preserve">L5-T3</t>
  </si>
  <si>
    <t xml:space="preserve">Cascade separated from real defects</t>
  </si>
  <si>
    <t xml:space="preserve">Split rejected children into true defects and cascaded ones.</t>
  </si>
  <si>
    <t xml:space="preserve">Your report states both counts for items, payments and complaints.</t>
  </si>
  <si>
    <t xml:space="preserve">L5-T4</t>
  </si>
  <si>
    <t xml:space="preserve">Quality log grows</t>
  </si>
  <si>
    <t xml:space="preserve">Run the pipeline twice and query `gold.dq_log`.</t>
  </si>
  <si>
    <t xml:space="preserve">Rows for each table for each run, with different `run_at` values.</t>
  </si>
  <si>
    <t xml:space="preserve">L5-T5</t>
  </si>
  <si>
    <t xml:space="preserve">Master staff</t>
  </si>
  <si>
    <t xml:space="preserve">Query the master staff table.</t>
  </si>
  <si>
    <t xml:space="preserve">One row per real person. 'F. Alade' and 'Funke Alade' are one person. A roster person with no system id is flagged.</t>
  </si>
  <si>
    <t xml:space="preserve">L5-T6</t>
  </si>
  <si>
    <t xml:space="preserve">Matching rule has a limit</t>
  </si>
  <si>
    <t xml:space="preserve">Add a fictional 'Femi Alade' to the roster and run the match.</t>
  </si>
  <si>
    <t xml:space="preserve">You can show the wrong match and write how you would catch it.</t>
  </si>
  <si>
    <t xml:space="preserve">L5-T7</t>
  </si>
  <si>
    <t xml:space="preserve">Lineage trace</t>
  </si>
  <si>
    <t xml:space="preserve">Open the Lineage view and write the chain for 'total revenue'.</t>
  </si>
  <si>
    <t xml:space="preserve">Chain from dashboard number to Gold table to Silver table to Bronze table to source column. Screenshot included.</t>
  </si>
  <si>
    <t xml:space="preserve">L5-T8</t>
  </si>
  <si>
    <t xml:space="preserve">Quality at scale</t>
  </si>
  <si>
    <t xml:space="preserve">Profile `scale_orders_s1m` and answer Part E.</t>
  </si>
  <si>
    <t xml:space="preserve">You wrote which checks got slower and what a quarantine table must also hold at large size (counts per rule per day).</t>
  </si>
  <si>
    <t xml:space="preserve">Lab 6</t>
  </si>
  <si>
    <t xml:space="preserve">L6-T1</t>
  </si>
  <si>
    <t xml:space="preserve">Register is complete</t>
  </si>
  <si>
    <t xml:space="preserve">Open `docs/governance_register.md`.</t>
  </si>
  <si>
    <t xml:space="preserve">Every Gold table has an owner role, sensitivity, readers, refresh and column descriptions.</t>
  </si>
  <si>
    <t xml:space="preserve">L6-T2</t>
  </si>
  <si>
    <t xml:space="preserve">Least privilege</t>
  </si>
  <si>
    <t xml:space="preserve">With the app's identity, try to read a Gold table and then a Bronze table.</t>
  </si>
  <si>
    <t xml:space="preserve">Gold works. Bronze is denied.</t>
  </si>
  <si>
    <t xml:space="preserve">L6-T3</t>
  </si>
  <si>
    <t xml:space="preserve">Row-level security</t>
  </si>
  <si>
    <t xml:space="preserve">Run the same query as waiter A and waiter B.</t>
  </si>
  <si>
    <t xml:space="preserve">Each sees only their own rows, and the two counts add up to the total.</t>
  </si>
  <si>
    <t xml:space="preserve">L6-T4</t>
  </si>
  <si>
    <t xml:space="preserve">No secrets in Git</t>
  </si>
  <si>
    <t xml:space="preserve">Search your history: `git log -p | grep -iE "password|secret|mongodb\+srv|postgresql://"`.</t>
  </si>
  <si>
    <t xml:space="preserve">No hits. `.env` is ignored.</t>
  </si>
  <si>
    <t xml:space="preserve">L6-T5</t>
  </si>
  <si>
    <t xml:space="preserve">API fails gracefully</t>
  </si>
  <si>
    <t xml:space="preserve">Use a wrong credential or stop access.</t>
  </si>
  <si>
    <t xml:space="preserve">The API returns a 503 message and the app shows 'data unavailable', not a crash.</t>
  </si>
  <si>
    <t xml:space="preserve">L6-T6</t>
  </si>
  <si>
    <t xml:space="preserve">Tiles match the truth</t>
  </si>
  <si>
    <t xml:space="preserve">Compare the three tiles with a direct query on Gold.</t>
  </si>
  <si>
    <t xml:space="preserve">Numbers are identical.</t>
  </si>
  <si>
    <t xml:space="preserve">L6-T7</t>
  </si>
  <si>
    <t xml:space="preserve">Cache works</t>
  </si>
  <si>
    <t xml:space="preserve">Request the same tile twice within a minute.</t>
  </si>
  <si>
    <t xml:space="preserve">The warehouse is queried once.</t>
  </si>
  <si>
    <t xml:space="preserve">L6-T8</t>
  </si>
  <si>
    <t xml:space="preserve">Serve aggregates</t>
  </si>
  <si>
    <t xml:space="preserve">Time a query on the raw scale fact and on a small aggregate table.</t>
  </si>
  <si>
    <t xml:space="preserve">Two rows in `scale_benchmark_log`, and two sentences on why the app queries only Gold.</t>
  </si>
  <si>
    <t xml:space="preserve">Lab 7</t>
  </si>
  <si>
    <t xml:space="preserve">L7-T1</t>
  </si>
  <si>
    <t xml:space="preserve">Datasets exist</t>
  </si>
  <si>
    <t xml:space="preserve">List the `scale_*` tables and their counts.</t>
  </si>
  <si>
    <t xml:space="preserve">At least `s100k` and `s1m`, with counts close to the targets.</t>
  </si>
  <si>
    <t xml:space="preserve">L7-T2</t>
  </si>
  <si>
    <t xml:space="preserve">Prediction first</t>
  </si>
  <si>
    <t xml:space="preserve">Check the Git history of `docs/scale_notes.md`.</t>
  </si>
  <si>
    <t xml:space="preserve">Predictions were committed before results.</t>
  </si>
  <si>
    <t xml:space="preserve">L7-T3</t>
  </si>
  <si>
    <t xml:space="preserve">Every run is logged</t>
  </si>
  <si>
    <t xml:space="preserve">Query `scale_benchmark_log`.</t>
  </si>
  <si>
    <t xml:space="preserve">Rows for experiments 1 to 4, each with dataset, row count, seconds and your capacity note filled in.</t>
  </si>
  <si>
    <t xml:space="preserve">L7-T4</t>
  </si>
  <si>
    <t xml:space="preserve">Only measured numbers</t>
  </si>
  <si>
    <t xml:space="preserve">Compare each number in your notes with the log.</t>
  </si>
  <si>
    <t xml:space="preserve">Every number in the notes is in the log. Anything untested says NOT VERIFIED.</t>
  </si>
  <si>
    <t xml:space="preserve">L7-T5</t>
  </si>
  <si>
    <t xml:space="preserve">Incremental touched fewer rows</t>
  </si>
  <si>
    <t xml:space="preserve">Read the printed row counts from Experiment 1.</t>
  </si>
  <si>
    <t xml:space="preserve">The incremental run touched a small fraction of the rows, and you can say how small.</t>
  </si>
  <si>
    <t xml:space="preserve">L7-T6</t>
  </si>
  <si>
    <t xml:space="preserve">SQL vs Spark recorded</t>
  </si>
  <si>
    <t xml:space="preserve">Check for your by-hand T-SQL timing.</t>
  </si>
  <si>
    <t xml:space="preserve">Either a logged T-SQL time or an honest NOT VERIFIED.</t>
  </si>
  <si>
    <t xml:space="preserve">L7-T7</t>
  </si>
  <si>
    <t xml:space="preserve">Partitioning observed</t>
  </si>
  <si>
    <t xml:space="preserve">Compare `DESCRIBE DETAIL` for the flat and partitioned tables.</t>
  </si>
  <si>
    <t xml:space="preserve">File counts recorded for both; you described what they show.</t>
  </si>
  <si>
    <t xml:space="preserve">L7-T8</t>
  </si>
  <si>
    <t xml:space="preserve">Rebuild is safe</t>
  </si>
  <si>
    <t xml:space="preserve">Run the setup notebook again.</t>
  </si>
  <si>
    <t xml:space="preserve">Tables are replaced, not doubled.</t>
  </si>
  <si>
    <t xml:space="preserve">Lab 8</t>
  </si>
  <si>
    <t xml:space="preserve">L8-T1</t>
  </si>
  <si>
    <t xml:space="preserve">Events arrive</t>
  </si>
  <si>
    <t xml:space="preserve">Start the sender and run the count query twice, ten seconds apart.</t>
  </si>
  <si>
    <t xml:space="preserve">The count goes up.</t>
  </si>
  <si>
    <t xml:space="preserve">L8-T2</t>
  </si>
  <si>
    <t xml:space="preserve">Stopping the sender stops the growth</t>
  </si>
  <si>
    <t xml:space="preserve">Pause the sender and run the query twice.</t>
  </si>
  <si>
    <t xml:space="preserve">The count does not change.</t>
  </si>
  <si>
    <t xml:space="preserve">L8-T3</t>
  </si>
  <si>
    <t xml:space="preserve">Waiting count is right</t>
  </si>
  <si>
    <t xml:space="preserve">Compare orders PLACED minus SERVED with your query.</t>
  </si>
  <si>
    <t xml:space="preserve">They agree.</t>
  </si>
  <si>
    <t xml:space="preserve">Capstone</t>
  </si>
  <si>
    <t xml:space="preserve">C-T1</t>
  </si>
  <si>
    <t xml:space="preserve">Metric is right</t>
  </si>
  <si>
    <t xml:space="preserve">Compute the headline number by hand from the source or Silver.</t>
  </si>
  <si>
    <t xml:space="preserve">Dashboard, Gold and your hand calculation agree.</t>
  </si>
  <si>
    <t xml:space="preserve">C-T2</t>
  </si>
  <si>
    <t xml:space="preserve">Rerun is safe</t>
  </si>
  <si>
    <t xml:space="preserve">Run the pipeline twice in a row.</t>
  </si>
  <si>
    <t xml:space="preserve">No duplicate rows, same counts.</t>
  </si>
  <si>
    <t xml:space="preserve">C-T3</t>
  </si>
  <si>
    <t xml:space="preserve">Duplicate input</t>
  </si>
  <si>
    <t xml:space="preserve">Feed the same source record twice.</t>
  </si>
  <si>
    <t xml:space="preserve">One row in Gold.</t>
  </si>
  <si>
    <t xml:space="preserve">C-T4</t>
  </si>
  <si>
    <t xml:space="preserve">Missing or empty data</t>
  </si>
  <si>
    <t xml:space="preserve">Remove a field or send an empty file or response.</t>
  </si>
  <si>
    <t xml:space="preserve">The bad row goes to quarantine with a reason, the rest loads.</t>
  </si>
  <si>
    <t xml:space="preserve">C-T5</t>
  </si>
  <si>
    <t xml:space="preserve">Source failure</t>
  </si>
  <si>
    <t xml:space="preserve">Make the source or API unavailable.</t>
  </si>
  <si>
    <t xml:space="preserve">The pipeline reports it and the app shows a clear message. Nothing else breaks.</t>
  </si>
  <si>
    <t xml:space="preserve">C-T6</t>
  </si>
  <si>
    <t xml:space="preserve">Late or changed data</t>
  </si>
  <si>
    <t xml:space="preserve">Change an old source record.</t>
  </si>
  <si>
    <t xml:space="preserve">The next run picks it up, and history in the dimension is preserved where it should be.</t>
  </si>
  <si>
    <t xml:space="preserve">C-T7</t>
  </si>
  <si>
    <t xml:space="preserve">Wrong grain trap</t>
  </si>
  <si>
    <t xml:space="preserve">Join your fact to a dimension that could multiply rows.</t>
  </si>
  <si>
    <t xml:space="preserve">Row counts and totals do not inflate.</t>
  </si>
  <si>
    <t xml:space="preserve">C-T8</t>
  </si>
  <si>
    <t xml:space="preserve">Access</t>
  </si>
  <si>
    <t xml:space="preserve">Read the feature's table with the app's identity, then try a table it must not read.</t>
  </si>
  <si>
    <t xml:space="preserve">Allowed on the Gold table, denied on Bronze.</t>
  </si>
  <si>
    <t xml:space="preserve">C-T9</t>
  </si>
  <si>
    <t xml:space="preserve">Refresh or trigger</t>
  </si>
  <si>
    <t xml:space="preserve">Start the update the way the owner would (schedule, button or event). Do it several times.</t>
  </si>
  <si>
    <t xml:space="preserve">It behaves the same each time.</t>
  </si>
  <si>
    <t xml:space="preserve">C-T10</t>
  </si>
  <si>
    <t xml:space="preserve">Scale reasoning</t>
  </si>
  <si>
    <t xml:space="preserve">Read your answer to requirement 9.</t>
  </si>
  <si>
    <t xml:space="preserve">It names what changes at 100 million records and marks untested claims NOT VERIFIED.</t>
  </si>
  <si>
    <t xml:space="preserve">Results by lab (formulas, do not edit)</t>
  </si>
  <si>
    <t xml:space="preserve">Tests</t>
  </si>
  <si>
    <t xml:space="preserve">FAIL</t>
  </si>
  <si>
    <t xml:space="preserve">BLOCKED</t>
  </si>
  <si>
    <t xml:space="preserve">% PASS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</si>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</sst>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9C57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31.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31.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31.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31.5" hidden="false" customHeight="true" outlineLevel="0" collapsed="false">
      <c r="A7" s="2" t="s">
        <v>5</v>
      </c>
      <c r="B7" s="2"/>
      <c r="C7" s="2"/>
      <c r="D7" s="2"/>
      <c r="E7" s="2"/>
      <c r="F7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</row>
    <row r="11" customFormat="false" ht="26.85" hidden="false" customHeight="false" outlineLevel="0" collapsed="false">
      <c r="A11" s="5" t="s">
        <v>13</v>
      </c>
      <c r="B11" s="5" t="s">
        <v>14</v>
      </c>
      <c r="C11" s="5" t="s">
        <v>15</v>
      </c>
      <c r="D11" s="6" t="s">
        <v>16</v>
      </c>
      <c r="E11" s="6" t="s">
        <v>17</v>
      </c>
      <c r="F11" s="6" t="s">
        <v>18</v>
      </c>
    </row>
  </sheetData>
  <mergeCells count="5">
    <mergeCell ref="A3:F3"/>
    <mergeCell ref="A4:F4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5" min="4" style="0" width="44"/>
    <col collapsed="false" customWidth="true" hidden="false" outlineLevel="0" max="6" min="6" style="0" width="12"/>
    <col collapsed="false" customWidth="true" hidden="false" outlineLevel="0" max="8" min="7" style="0" width="30"/>
  </cols>
  <sheetData>
    <row r="1" customFormat="false" ht="33.75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19</v>
      </c>
      <c r="E1" s="4" t="s">
        <v>20</v>
      </c>
      <c r="F1" s="4" t="s">
        <v>10</v>
      </c>
      <c r="G1" s="4" t="s">
        <v>11</v>
      </c>
      <c r="H1" s="4" t="s">
        <v>12</v>
      </c>
    </row>
    <row r="2" customFormat="false" ht="26.8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6" t="s">
        <v>26</v>
      </c>
      <c r="G2" s="6"/>
      <c r="H2" s="6"/>
    </row>
    <row r="3" customFormat="false" ht="39.55" hidden="false" customHeight="false" outlineLevel="0" collapsed="false">
      <c r="A3" s="5" t="s">
        <v>21</v>
      </c>
      <c r="B3" s="5" t="s">
        <v>27</v>
      </c>
      <c r="C3" s="5" t="s">
        <v>28</v>
      </c>
      <c r="D3" s="5" t="s">
        <v>29</v>
      </c>
      <c r="E3" s="5" t="s">
        <v>30</v>
      </c>
      <c r="F3" s="6" t="s">
        <v>26</v>
      </c>
      <c r="G3" s="6"/>
      <c r="H3" s="6"/>
    </row>
    <row r="4" customFormat="false" ht="15" hidden="false" customHeight="false" outlineLevel="0" collapsed="false">
      <c r="A4" s="5" t="s">
        <v>21</v>
      </c>
      <c r="B4" s="5" t="s">
        <v>31</v>
      </c>
      <c r="C4" s="5" t="s">
        <v>32</v>
      </c>
      <c r="D4" s="5" t="s">
        <v>33</v>
      </c>
      <c r="E4" s="5" t="s">
        <v>34</v>
      </c>
      <c r="F4" s="6" t="s">
        <v>26</v>
      </c>
      <c r="G4" s="6"/>
      <c r="H4" s="6"/>
    </row>
    <row r="5" customFormat="false" ht="26.85" hidden="false" customHeight="false" outlineLevel="0" collapsed="false">
      <c r="A5" s="5" t="s">
        <v>21</v>
      </c>
      <c r="B5" s="5" t="s">
        <v>35</v>
      </c>
      <c r="C5" s="5" t="s">
        <v>36</v>
      </c>
      <c r="D5" s="5" t="s">
        <v>37</v>
      </c>
      <c r="E5" s="5" t="s">
        <v>38</v>
      </c>
      <c r="F5" s="6" t="s">
        <v>26</v>
      </c>
      <c r="G5" s="6"/>
      <c r="H5" s="6"/>
    </row>
    <row r="6" customFormat="false" ht="26.85" hidden="false" customHeight="false" outlineLevel="0" collapsed="false">
      <c r="A6" s="5" t="s">
        <v>21</v>
      </c>
      <c r="B6" s="5" t="s">
        <v>39</v>
      </c>
      <c r="C6" s="5" t="s">
        <v>40</v>
      </c>
      <c r="D6" s="5" t="s">
        <v>41</v>
      </c>
      <c r="E6" s="5" t="s">
        <v>42</v>
      </c>
      <c r="F6" s="6" t="s">
        <v>26</v>
      </c>
      <c r="G6" s="6"/>
      <c r="H6" s="6"/>
    </row>
    <row r="7" customFormat="false" ht="39.55" hidden="false" customHeight="false" outlineLevel="0" collapsed="false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6" t="s">
        <v>26</v>
      </c>
      <c r="G7" s="6"/>
      <c r="H7" s="6"/>
    </row>
    <row r="8" customFormat="false" ht="52.2" hidden="false" customHeight="false" outlineLevel="0" collapsed="false">
      <c r="A8" s="5" t="s">
        <v>43</v>
      </c>
      <c r="B8" s="5" t="s">
        <v>48</v>
      </c>
      <c r="C8" s="5" t="s">
        <v>49</v>
      </c>
      <c r="D8" s="5" t="s">
        <v>50</v>
      </c>
      <c r="E8" s="5" t="s">
        <v>51</v>
      </c>
      <c r="F8" s="6" t="s">
        <v>26</v>
      </c>
      <c r="G8" s="6"/>
      <c r="H8" s="6"/>
    </row>
    <row r="9" customFormat="false" ht="26.85" hidden="false" customHeight="false" outlineLevel="0" collapsed="false">
      <c r="A9" s="5" t="s">
        <v>43</v>
      </c>
      <c r="B9" s="5" t="s">
        <v>52</v>
      </c>
      <c r="C9" s="5" t="s">
        <v>53</v>
      </c>
      <c r="D9" s="5" t="s">
        <v>54</v>
      </c>
      <c r="E9" s="5" t="s">
        <v>55</v>
      </c>
      <c r="F9" s="6" t="s">
        <v>26</v>
      </c>
      <c r="G9" s="6"/>
      <c r="H9" s="6"/>
    </row>
    <row r="10" customFormat="false" ht="26.85" hidden="false" customHeight="false" outlineLevel="0" collapsed="false">
      <c r="A10" s="5" t="s">
        <v>43</v>
      </c>
      <c r="B10" s="5" t="s">
        <v>56</v>
      </c>
      <c r="C10" s="5" t="s">
        <v>57</v>
      </c>
      <c r="D10" s="5" t="s">
        <v>58</v>
      </c>
      <c r="E10" s="5" t="s">
        <v>59</v>
      </c>
      <c r="F10" s="6" t="s">
        <v>26</v>
      </c>
      <c r="G10" s="6"/>
      <c r="H10" s="6"/>
    </row>
    <row r="11" customFormat="false" ht="26.85" hidden="false" customHeight="false" outlineLevel="0" collapsed="false">
      <c r="A11" s="5" t="s">
        <v>43</v>
      </c>
      <c r="B11" s="5" t="s">
        <v>60</v>
      </c>
      <c r="C11" s="5" t="s">
        <v>61</v>
      </c>
      <c r="D11" s="5" t="s">
        <v>62</v>
      </c>
      <c r="E11" s="5" t="s">
        <v>63</v>
      </c>
      <c r="F11" s="6" t="s">
        <v>26</v>
      </c>
      <c r="G11" s="6"/>
      <c r="H11" s="6"/>
    </row>
    <row r="12" customFormat="false" ht="39.55" hidden="false" customHeight="false" outlineLevel="0" collapsed="false">
      <c r="A12" s="5" t="s">
        <v>43</v>
      </c>
      <c r="B12" s="5" t="s">
        <v>64</v>
      </c>
      <c r="C12" s="5" t="s">
        <v>65</v>
      </c>
      <c r="D12" s="5" t="s">
        <v>66</v>
      </c>
      <c r="E12" s="5" t="s">
        <v>67</v>
      </c>
      <c r="F12" s="6" t="s">
        <v>26</v>
      </c>
      <c r="G12" s="6"/>
      <c r="H12" s="6"/>
    </row>
    <row r="13" customFormat="false" ht="26.85" hidden="false" customHeight="false" outlineLevel="0" collapsed="false">
      <c r="A13" s="5" t="s">
        <v>43</v>
      </c>
      <c r="B13" s="5" t="s">
        <v>68</v>
      </c>
      <c r="C13" s="5" t="s">
        <v>69</v>
      </c>
      <c r="D13" s="5" t="s">
        <v>70</v>
      </c>
      <c r="E13" s="5" t="s">
        <v>71</v>
      </c>
      <c r="F13" s="6" t="s">
        <v>26</v>
      </c>
      <c r="G13" s="6"/>
      <c r="H13" s="6"/>
    </row>
    <row r="14" customFormat="false" ht="39.55" hidden="false" customHeight="false" outlineLevel="0" collapsed="false">
      <c r="A14" s="5" t="s">
        <v>43</v>
      </c>
      <c r="B14" s="5" t="s">
        <v>72</v>
      </c>
      <c r="C14" s="5" t="s">
        <v>73</v>
      </c>
      <c r="D14" s="5" t="s">
        <v>74</v>
      </c>
      <c r="E14" s="5" t="s">
        <v>75</v>
      </c>
      <c r="F14" s="6" t="s">
        <v>26</v>
      </c>
      <c r="G14" s="6"/>
      <c r="H14" s="6"/>
    </row>
    <row r="15" customFormat="false" ht="39.55" hidden="false" customHeight="false" outlineLevel="0" collapsed="false">
      <c r="A15" s="5" t="s">
        <v>43</v>
      </c>
      <c r="B15" s="5" t="s">
        <v>76</v>
      </c>
      <c r="C15" s="5" t="s">
        <v>77</v>
      </c>
      <c r="D15" s="5" t="s">
        <v>78</v>
      </c>
      <c r="E15" s="5" t="s">
        <v>79</v>
      </c>
      <c r="F15" s="6" t="s">
        <v>26</v>
      </c>
      <c r="G15" s="6"/>
      <c r="H15" s="6"/>
    </row>
    <row r="16" customFormat="false" ht="26.85" hidden="false" customHeight="false" outlineLevel="0" collapsed="false">
      <c r="A16" s="5" t="s">
        <v>43</v>
      </c>
      <c r="B16" s="5" t="s">
        <v>80</v>
      </c>
      <c r="C16" s="5" t="s">
        <v>81</v>
      </c>
      <c r="D16" s="5" t="s">
        <v>82</v>
      </c>
      <c r="E16" s="5" t="s">
        <v>83</v>
      </c>
      <c r="F16" s="6" t="s">
        <v>26</v>
      </c>
      <c r="G16" s="6"/>
      <c r="H16" s="6"/>
    </row>
    <row r="17" customFormat="false" ht="64.9" hidden="false" customHeight="false" outlineLevel="0" collapsed="false">
      <c r="A17" s="5" t="s">
        <v>43</v>
      </c>
      <c r="B17" s="5" t="s">
        <v>84</v>
      </c>
      <c r="C17" s="5" t="s">
        <v>85</v>
      </c>
      <c r="D17" s="5" t="s">
        <v>86</v>
      </c>
      <c r="E17" s="5" t="s">
        <v>87</v>
      </c>
      <c r="F17" s="6" t="s">
        <v>26</v>
      </c>
      <c r="G17" s="6"/>
      <c r="H17" s="6"/>
    </row>
    <row r="18" customFormat="false" ht="26.85" hidden="false" customHeight="false" outlineLevel="0" collapsed="false">
      <c r="A18" s="5" t="s">
        <v>43</v>
      </c>
      <c r="B18" s="5" t="s">
        <v>88</v>
      </c>
      <c r="C18" s="5" t="s">
        <v>89</v>
      </c>
      <c r="D18" s="5" t="s">
        <v>90</v>
      </c>
      <c r="E18" s="5" t="s">
        <v>91</v>
      </c>
      <c r="F18" s="6" t="s">
        <v>26</v>
      </c>
      <c r="G18" s="6"/>
      <c r="H18" s="6"/>
    </row>
    <row r="19" customFormat="false" ht="26.85" hidden="false" customHeight="false" outlineLevel="0" collapsed="false">
      <c r="A19" s="5" t="s">
        <v>92</v>
      </c>
      <c r="B19" s="5" t="s">
        <v>93</v>
      </c>
      <c r="C19" s="5" t="s">
        <v>94</v>
      </c>
      <c r="D19" s="5" t="s">
        <v>95</v>
      </c>
      <c r="E19" s="5" t="s">
        <v>96</v>
      </c>
      <c r="F19" s="6" t="s">
        <v>26</v>
      </c>
      <c r="G19" s="6"/>
      <c r="H19" s="6"/>
    </row>
    <row r="20" customFormat="false" ht="39.55" hidden="false" customHeight="false" outlineLevel="0" collapsed="false">
      <c r="A20" s="5" t="s">
        <v>92</v>
      </c>
      <c r="B20" s="5" t="s">
        <v>97</v>
      </c>
      <c r="C20" s="5" t="s">
        <v>98</v>
      </c>
      <c r="D20" s="5" t="s">
        <v>99</v>
      </c>
      <c r="E20" s="5" t="s">
        <v>100</v>
      </c>
      <c r="F20" s="6" t="s">
        <v>26</v>
      </c>
      <c r="G20" s="6"/>
      <c r="H20" s="6"/>
    </row>
    <row r="21" customFormat="false" ht="26.85" hidden="false" customHeight="false" outlineLevel="0" collapsed="false">
      <c r="A21" s="5" t="s">
        <v>92</v>
      </c>
      <c r="B21" s="5" t="s">
        <v>101</v>
      </c>
      <c r="C21" s="5" t="s">
        <v>102</v>
      </c>
      <c r="D21" s="5" t="s">
        <v>103</v>
      </c>
      <c r="E21" s="5" t="s">
        <v>104</v>
      </c>
      <c r="F21" s="6" t="s">
        <v>26</v>
      </c>
      <c r="G21" s="6"/>
      <c r="H21" s="6"/>
    </row>
    <row r="22" customFormat="false" ht="26.85" hidden="false" customHeight="false" outlineLevel="0" collapsed="false">
      <c r="A22" s="5" t="s">
        <v>92</v>
      </c>
      <c r="B22" s="5" t="s">
        <v>105</v>
      </c>
      <c r="C22" s="5" t="s">
        <v>106</v>
      </c>
      <c r="D22" s="5" t="s">
        <v>107</v>
      </c>
      <c r="E22" s="5" t="s">
        <v>104</v>
      </c>
      <c r="F22" s="6" t="s">
        <v>26</v>
      </c>
      <c r="G22" s="6"/>
      <c r="H22" s="6"/>
    </row>
    <row r="23" customFormat="false" ht="26.85" hidden="false" customHeight="false" outlineLevel="0" collapsed="false">
      <c r="A23" s="5" t="s">
        <v>92</v>
      </c>
      <c r="B23" s="5" t="s">
        <v>108</v>
      </c>
      <c r="C23" s="5" t="s">
        <v>109</v>
      </c>
      <c r="D23" s="5" t="s">
        <v>110</v>
      </c>
      <c r="E23" s="5" t="s">
        <v>111</v>
      </c>
      <c r="F23" s="6" t="s">
        <v>26</v>
      </c>
      <c r="G23" s="6"/>
      <c r="H23" s="6"/>
    </row>
    <row r="24" customFormat="false" ht="26.85" hidden="false" customHeight="false" outlineLevel="0" collapsed="false">
      <c r="A24" s="5" t="s">
        <v>92</v>
      </c>
      <c r="B24" s="5" t="s">
        <v>112</v>
      </c>
      <c r="C24" s="5" t="s">
        <v>113</v>
      </c>
      <c r="D24" s="5" t="s">
        <v>114</v>
      </c>
      <c r="E24" s="5" t="s">
        <v>115</v>
      </c>
      <c r="F24" s="6" t="s">
        <v>26</v>
      </c>
      <c r="G24" s="6"/>
      <c r="H24" s="6"/>
    </row>
    <row r="25" customFormat="false" ht="26.85" hidden="false" customHeight="false" outlineLevel="0" collapsed="false">
      <c r="A25" s="5" t="s">
        <v>92</v>
      </c>
      <c r="B25" s="5" t="s">
        <v>116</v>
      </c>
      <c r="C25" s="5" t="s">
        <v>117</v>
      </c>
      <c r="D25" s="5" t="s">
        <v>118</v>
      </c>
      <c r="E25" s="5" t="s">
        <v>119</v>
      </c>
      <c r="F25" s="6" t="s">
        <v>26</v>
      </c>
      <c r="G25" s="6"/>
      <c r="H25" s="6"/>
    </row>
    <row r="26" customFormat="false" ht="77.6" hidden="false" customHeight="false" outlineLevel="0" collapsed="false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124</v>
      </c>
      <c r="F26" s="6" t="s">
        <v>26</v>
      </c>
      <c r="G26" s="6"/>
      <c r="H26" s="6"/>
    </row>
    <row r="27" customFormat="false" ht="26.85" hidden="false" customHeight="false" outlineLevel="0" collapsed="false">
      <c r="A27" s="5" t="s">
        <v>120</v>
      </c>
      <c r="B27" s="5" t="s">
        <v>125</v>
      </c>
      <c r="C27" s="5" t="s">
        <v>126</v>
      </c>
      <c r="D27" s="5" t="s">
        <v>127</v>
      </c>
      <c r="E27" s="5" t="s">
        <v>128</v>
      </c>
      <c r="F27" s="6" t="s">
        <v>26</v>
      </c>
      <c r="G27" s="6"/>
      <c r="H27" s="6"/>
    </row>
    <row r="28" customFormat="false" ht="15" hidden="false" customHeight="false" outlineLevel="0" collapsed="false">
      <c r="A28" s="5" t="s">
        <v>120</v>
      </c>
      <c r="B28" s="5" t="s">
        <v>129</v>
      </c>
      <c r="C28" s="5" t="s">
        <v>130</v>
      </c>
      <c r="D28" s="5" t="s">
        <v>131</v>
      </c>
      <c r="E28" s="5" t="s">
        <v>132</v>
      </c>
      <c r="F28" s="6" t="s">
        <v>26</v>
      </c>
      <c r="G28" s="6"/>
      <c r="H28" s="6"/>
    </row>
    <row r="29" customFormat="false" ht="39.55" hidden="false" customHeight="false" outlineLevel="0" collapsed="false">
      <c r="A29" s="5" t="s">
        <v>120</v>
      </c>
      <c r="B29" s="5" t="s">
        <v>133</v>
      </c>
      <c r="C29" s="5" t="s">
        <v>134</v>
      </c>
      <c r="D29" s="5" t="s">
        <v>135</v>
      </c>
      <c r="E29" s="5" t="s">
        <v>136</v>
      </c>
      <c r="F29" s="6" t="s">
        <v>26</v>
      </c>
      <c r="G29" s="6"/>
      <c r="H29" s="6"/>
    </row>
    <row r="30" customFormat="false" ht="26.85" hidden="false" customHeight="false" outlineLevel="0" collapsed="false">
      <c r="A30" s="5" t="s">
        <v>120</v>
      </c>
      <c r="B30" s="5" t="s">
        <v>137</v>
      </c>
      <c r="C30" s="5" t="s">
        <v>138</v>
      </c>
      <c r="D30" s="5" t="s">
        <v>139</v>
      </c>
      <c r="E30" s="5" t="s">
        <v>140</v>
      </c>
      <c r="F30" s="6" t="s">
        <v>26</v>
      </c>
      <c r="G30" s="6"/>
      <c r="H30" s="6"/>
    </row>
    <row r="31" customFormat="false" ht="26.85" hidden="false" customHeight="false" outlineLevel="0" collapsed="false">
      <c r="A31" s="5" t="s">
        <v>120</v>
      </c>
      <c r="B31" s="5" t="s">
        <v>141</v>
      </c>
      <c r="C31" s="5" t="s">
        <v>142</v>
      </c>
      <c r="D31" s="5" t="s">
        <v>143</v>
      </c>
      <c r="E31" s="5" t="s">
        <v>144</v>
      </c>
      <c r="F31" s="6" t="s">
        <v>26</v>
      </c>
      <c r="G31" s="6"/>
      <c r="H31" s="6"/>
    </row>
    <row r="32" customFormat="false" ht="26.85" hidden="false" customHeight="false" outlineLevel="0" collapsed="false">
      <c r="A32" s="5" t="s">
        <v>120</v>
      </c>
      <c r="B32" s="5" t="s">
        <v>145</v>
      </c>
      <c r="C32" s="5" t="s">
        <v>146</v>
      </c>
      <c r="D32" s="5" t="s">
        <v>147</v>
      </c>
      <c r="E32" s="5" t="s">
        <v>148</v>
      </c>
      <c r="F32" s="6" t="s">
        <v>26</v>
      </c>
      <c r="G32" s="6"/>
      <c r="H32" s="6"/>
    </row>
    <row r="33" customFormat="false" ht="15" hidden="false" customHeight="false" outlineLevel="0" collapsed="false">
      <c r="A33" s="5" t="s">
        <v>120</v>
      </c>
      <c r="B33" s="5" t="s">
        <v>149</v>
      </c>
      <c r="C33" s="5" t="s">
        <v>150</v>
      </c>
      <c r="D33" s="5" t="s">
        <v>151</v>
      </c>
      <c r="E33" s="5" t="s">
        <v>152</v>
      </c>
      <c r="F33" s="6" t="s">
        <v>26</v>
      </c>
      <c r="G33" s="6"/>
      <c r="H33" s="6"/>
    </row>
    <row r="34" customFormat="false" ht="26.85" hidden="false" customHeight="false" outlineLevel="0" collapsed="false">
      <c r="A34" s="5" t="s">
        <v>120</v>
      </c>
      <c r="B34" s="5" t="s">
        <v>153</v>
      </c>
      <c r="C34" s="5" t="s">
        <v>154</v>
      </c>
      <c r="D34" s="5" t="s">
        <v>155</v>
      </c>
      <c r="E34" s="5" t="s">
        <v>156</v>
      </c>
      <c r="F34" s="6" t="s">
        <v>26</v>
      </c>
      <c r="G34" s="6"/>
      <c r="H34" s="6"/>
    </row>
    <row r="35" customFormat="false" ht="26.85" hidden="false" customHeight="false" outlineLevel="0" collapsed="false">
      <c r="A35" s="5" t="s">
        <v>13</v>
      </c>
      <c r="B35" s="5" t="s">
        <v>157</v>
      </c>
      <c r="C35" s="5" t="s">
        <v>158</v>
      </c>
      <c r="D35" s="5" t="s">
        <v>159</v>
      </c>
      <c r="E35" s="5" t="s">
        <v>160</v>
      </c>
      <c r="F35" s="6" t="s">
        <v>26</v>
      </c>
      <c r="G35" s="6"/>
      <c r="H35" s="6"/>
    </row>
    <row r="36" customFormat="false" ht="15" hidden="false" customHeight="false" outlineLevel="0" collapsed="false">
      <c r="A36" s="5" t="s">
        <v>13</v>
      </c>
      <c r="B36" s="5" t="s">
        <v>161</v>
      </c>
      <c r="C36" s="5" t="s">
        <v>162</v>
      </c>
      <c r="D36" s="5" t="s">
        <v>163</v>
      </c>
      <c r="E36" s="5" t="s">
        <v>164</v>
      </c>
      <c r="F36" s="6" t="s">
        <v>26</v>
      </c>
      <c r="G36" s="6"/>
      <c r="H36" s="6"/>
    </row>
    <row r="37" customFormat="false" ht="26.85" hidden="false" customHeight="false" outlineLevel="0" collapsed="false">
      <c r="A37" s="5" t="s">
        <v>13</v>
      </c>
      <c r="B37" s="5" t="s">
        <v>165</v>
      </c>
      <c r="C37" s="5" t="s">
        <v>166</v>
      </c>
      <c r="D37" s="5" t="s">
        <v>167</v>
      </c>
      <c r="E37" s="5" t="s">
        <v>168</v>
      </c>
      <c r="F37" s="6" t="s">
        <v>26</v>
      </c>
      <c r="G37" s="6"/>
      <c r="H37" s="6"/>
    </row>
    <row r="38" customFormat="false" ht="26.85" hidden="false" customHeight="false" outlineLevel="0" collapsed="false">
      <c r="A38" s="5" t="s">
        <v>13</v>
      </c>
      <c r="B38" s="5" t="s">
        <v>169</v>
      </c>
      <c r="C38" s="5" t="s">
        <v>170</v>
      </c>
      <c r="D38" s="5" t="s">
        <v>171</v>
      </c>
      <c r="E38" s="5" t="s">
        <v>172</v>
      </c>
      <c r="F38" s="6" t="s">
        <v>26</v>
      </c>
      <c r="G38" s="6"/>
      <c r="H38" s="6"/>
    </row>
    <row r="39" customFormat="false" ht="26.85" hidden="false" customHeight="false" outlineLevel="0" collapsed="false">
      <c r="A39" s="5" t="s">
        <v>13</v>
      </c>
      <c r="B39" s="5" t="s">
        <v>173</v>
      </c>
      <c r="C39" s="5" t="s">
        <v>174</v>
      </c>
      <c r="D39" s="5" t="s">
        <v>175</v>
      </c>
      <c r="E39" s="5" t="s">
        <v>176</v>
      </c>
      <c r="F39" s="6" t="s">
        <v>26</v>
      </c>
      <c r="G39" s="6"/>
      <c r="H39" s="6"/>
    </row>
    <row r="40" customFormat="false" ht="26.85" hidden="false" customHeight="false" outlineLevel="0" collapsed="false">
      <c r="A40" s="5" t="s">
        <v>13</v>
      </c>
      <c r="B40" s="5" t="s">
        <v>177</v>
      </c>
      <c r="C40" s="5" t="s">
        <v>178</v>
      </c>
      <c r="D40" s="5" t="s">
        <v>179</v>
      </c>
      <c r="E40" s="5" t="s">
        <v>180</v>
      </c>
      <c r="F40" s="6" t="s">
        <v>26</v>
      </c>
      <c r="G40" s="6"/>
      <c r="H40" s="6"/>
    </row>
    <row r="41" customFormat="false" ht="26.85" hidden="false" customHeight="false" outlineLevel="0" collapsed="false">
      <c r="A41" s="5" t="s">
        <v>13</v>
      </c>
      <c r="B41" s="5" t="s">
        <v>181</v>
      </c>
      <c r="C41" s="5" t="s">
        <v>182</v>
      </c>
      <c r="D41" s="5" t="s">
        <v>183</v>
      </c>
      <c r="E41" s="5" t="s">
        <v>184</v>
      </c>
      <c r="F41" s="6" t="s">
        <v>26</v>
      </c>
      <c r="G41" s="6"/>
      <c r="H41" s="6"/>
    </row>
    <row r="42" customFormat="false" ht="26.85" hidden="false" customHeight="false" outlineLevel="0" collapsed="false">
      <c r="A42" s="5" t="s">
        <v>13</v>
      </c>
      <c r="B42" s="5" t="s">
        <v>14</v>
      </c>
      <c r="C42" s="5" t="s">
        <v>15</v>
      </c>
      <c r="D42" s="5" t="s">
        <v>185</v>
      </c>
      <c r="E42" s="5" t="s">
        <v>186</v>
      </c>
      <c r="F42" s="6" t="s">
        <v>26</v>
      </c>
      <c r="G42" s="6"/>
      <c r="H42" s="6"/>
    </row>
    <row r="43" customFormat="false" ht="26.85" hidden="false" customHeight="false" outlineLevel="0" collapsed="false">
      <c r="A43" s="5" t="s">
        <v>13</v>
      </c>
      <c r="B43" s="5" t="s">
        <v>187</v>
      </c>
      <c r="C43" s="5" t="s">
        <v>188</v>
      </c>
      <c r="D43" s="5" t="s">
        <v>189</v>
      </c>
      <c r="E43" s="5" t="s">
        <v>190</v>
      </c>
      <c r="F43" s="6" t="s">
        <v>26</v>
      </c>
      <c r="G43" s="6"/>
      <c r="H43" s="6"/>
    </row>
    <row r="44" customFormat="false" ht="39.55" hidden="false" customHeight="false" outlineLevel="0" collapsed="false">
      <c r="A44" s="5" t="s">
        <v>191</v>
      </c>
      <c r="B44" s="5" t="s">
        <v>192</v>
      </c>
      <c r="C44" s="5" t="s">
        <v>193</v>
      </c>
      <c r="D44" s="5" t="s">
        <v>194</v>
      </c>
      <c r="E44" s="5" t="s">
        <v>195</v>
      </c>
      <c r="F44" s="6" t="s">
        <v>26</v>
      </c>
      <c r="G44" s="6"/>
      <c r="H44" s="6"/>
    </row>
    <row r="45" customFormat="false" ht="26.85" hidden="false" customHeight="false" outlineLevel="0" collapsed="false">
      <c r="A45" s="5" t="s">
        <v>191</v>
      </c>
      <c r="B45" s="5" t="s">
        <v>196</v>
      </c>
      <c r="C45" s="5" t="s">
        <v>197</v>
      </c>
      <c r="D45" s="5" t="s">
        <v>198</v>
      </c>
      <c r="E45" s="5" t="s">
        <v>199</v>
      </c>
      <c r="F45" s="6" t="s">
        <v>26</v>
      </c>
      <c r="G45" s="6"/>
      <c r="H45" s="6"/>
    </row>
    <row r="46" customFormat="false" ht="26.85" hidden="false" customHeight="false" outlineLevel="0" collapsed="false">
      <c r="A46" s="5" t="s">
        <v>191</v>
      </c>
      <c r="B46" s="5" t="s">
        <v>200</v>
      </c>
      <c r="C46" s="5" t="s">
        <v>201</v>
      </c>
      <c r="D46" s="5" t="s">
        <v>202</v>
      </c>
      <c r="E46" s="5" t="s">
        <v>203</v>
      </c>
      <c r="F46" s="6" t="s">
        <v>26</v>
      </c>
      <c r="G46" s="6"/>
      <c r="H46" s="6"/>
    </row>
    <row r="47" customFormat="false" ht="26.85" hidden="false" customHeight="false" outlineLevel="0" collapsed="false">
      <c r="A47" s="5" t="s">
        <v>191</v>
      </c>
      <c r="B47" s="5" t="s">
        <v>204</v>
      </c>
      <c r="C47" s="5" t="s">
        <v>205</v>
      </c>
      <c r="D47" s="5" t="s">
        <v>206</v>
      </c>
      <c r="E47" s="5" t="s">
        <v>207</v>
      </c>
      <c r="F47" s="6" t="s">
        <v>26</v>
      </c>
      <c r="G47" s="6"/>
      <c r="H47" s="6"/>
    </row>
    <row r="48" customFormat="false" ht="39.55" hidden="false" customHeight="false" outlineLevel="0" collapsed="false">
      <c r="A48" s="5" t="s">
        <v>191</v>
      </c>
      <c r="B48" s="5" t="s">
        <v>208</v>
      </c>
      <c r="C48" s="5" t="s">
        <v>209</v>
      </c>
      <c r="D48" s="5" t="s">
        <v>210</v>
      </c>
      <c r="E48" s="5" t="s">
        <v>211</v>
      </c>
      <c r="F48" s="6" t="s">
        <v>26</v>
      </c>
      <c r="G48" s="6"/>
      <c r="H48" s="6"/>
    </row>
    <row r="49" customFormat="false" ht="26.85" hidden="false" customHeight="false" outlineLevel="0" collapsed="false">
      <c r="A49" s="5" t="s">
        <v>191</v>
      </c>
      <c r="B49" s="5" t="s">
        <v>212</v>
      </c>
      <c r="C49" s="5" t="s">
        <v>213</v>
      </c>
      <c r="D49" s="5" t="s">
        <v>214</v>
      </c>
      <c r="E49" s="5" t="s">
        <v>215</v>
      </c>
      <c r="F49" s="6" t="s">
        <v>26</v>
      </c>
      <c r="G49" s="6"/>
      <c r="H49" s="6"/>
    </row>
    <row r="50" customFormat="false" ht="39.55" hidden="false" customHeight="false" outlineLevel="0" collapsed="false">
      <c r="A50" s="5" t="s">
        <v>191</v>
      </c>
      <c r="B50" s="5" t="s">
        <v>216</v>
      </c>
      <c r="C50" s="5" t="s">
        <v>217</v>
      </c>
      <c r="D50" s="5" t="s">
        <v>218</v>
      </c>
      <c r="E50" s="5" t="s">
        <v>219</v>
      </c>
      <c r="F50" s="6" t="s">
        <v>26</v>
      </c>
      <c r="G50" s="6"/>
      <c r="H50" s="6"/>
    </row>
    <row r="51" customFormat="false" ht="39.55" hidden="false" customHeight="false" outlineLevel="0" collapsed="false">
      <c r="A51" s="5" t="s">
        <v>191</v>
      </c>
      <c r="B51" s="5" t="s">
        <v>220</v>
      </c>
      <c r="C51" s="5" t="s">
        <v>221</v>
      </c>
      <c r="D51" s="5" t="s">
        <v>222</v>
      </c>
      <c r="E51" s="5" t="s">
        <v>223</v>
      </c>
      <c r="F51" s="6" t="s">
        <v>26</v>
      </c>
      <c r="G51" s="6"/>
      <c r="H51" s="6"/>
    </row>
    <row r="52" customFormat="false" ht="26.85" hidden="false" customHeight="false" outlineLevel="0" collapsed="false">
      <c r="A52" s="5" t="s">
        <v>224</v>
      </c>
      <c r="B52" s="5" t="s">
        <v>225</v>
      </c>
      <c r="C52" s="5" t="s">
        <v>226</v>
      </c>
      <c r="D52" s="5" t="s">
        <v>227</v>
      </c>
      <c r="E52" s="5" t="s">
        <v>228</v>
      </c>
      <c r="F52" s="6" t="s">
        <v>26</v>
      </c>
      <c r="G52" s="6"/>
      <c r="H52" s="6"/>
    </row>
    <row r="53" customFormat="false" ht="26.85" hidden="false" customHeight="false" outlineLevel="0" collapsed="false">
      <c r="A53" s="5" t="s">
        <v>224</v>
      </c>
      <c r="B53" s="5" t="s">
        <v>229</v>
      </c>
      <c r="C53" s="5" t="s">
        <v>230</v>
      </c>
      <c r="D53" s="5" t="s">
        <v>231</v>
      </c>
      <c r="E53" s="5" t="s">
        <v>232</v>
      </c>
      <c r="F53" s="6" t="s">
        <v>26</v>
      </c>
      <c r="G53" s="6"/>
      <c r="H53" s="6"/>
    </row>
    <row r="54" customFormat="false" ht="26.85" hidden="false" customHeight="false" outlineLevel="0" collapsed="false">
      <c r="A54" s="5" t="s">
        <v>224</v>
      </c>
      <c r="B54" s="5" t="s">
        <v>233</v>
      </c>
      <c r="C54" s="5" t="s">
        <v>234</v>
      </c>
      <c r="D54" s="5" t="s">
        <v>235</v>
      </c>
      <c r="E54" s="5" t="s">
        <v>236</v>
      </c>
      <c r="F54" s="6" t="s">
        <v>26</v>
      </c>
      <c r="G54" s="6"/>
      <c r="H54" s="6"/>
    </row>
    <row r="55" customFormat="false" ht="39.55" hidden="false" customHeight="false" outlineLevel="0" collapsed="false">
      <c r="A55" s="5" t="s">
        <v>224</v>
      </c>
      <c r="B55" s="5" t="s">
        <v>237</v>
      </c>
      <c r="C55" s="5" t="s">
        <v>238</v>
      </c>
      <c r="D55" s="5" t="s">
        <v>239</v>
      </c>
      <c r="E55" s="5" t="s">
        <v>240</v>
      </c>
      <c r="F55" s="6" t="s">
        <v>26</v>
      </c>
      <c r="G55" s="6"/>
      <c r="H55" s="6"/>
    </row>
    <row r="56" customFormat="false" ht="26.85" hidden="false" customHeight="false" outlineLevel="0" collapsed="false">
      <c r="A56" s="5" t="s">
        <v>224</v>
      </c>
      <c r="B56" s="5" t="s">
        <v>241</v>
      </c>
      <c r="C56" s="5" t="s">
        <v>242</v>
      </c>
      <c r="D56" s="5" t="s">
        <v>243</v>
      </c>
      <c r="E56" s="5" t="s">
        <v>244</v>
      </c>
      <c r="F56" s="6" t="s">
        <v>26</v>
      </c>
      <c r="G56" s="6"/>
      <c r="H56" s="6"/>
    </row>
    <row r="57" customFormat="false" ht="26.85" hidden="false" customHeight="false" outlineLevel="0" collapsed="false">
      <c r="A57" s="5" t="s">
        <v>224</v>
      </c>
      <c r="B57" s="5" t="s">
        <v>245</v>
      </c>
      <c r="C57" s="5" t="s">
        <v>246</v>
      </c>
      <c r="D57" s="5" t="s">
        <v>247</v>
      </c>
      <c r="E57" s="5" t="s">
        <v>248</v>
      </c>
      <c r="F57" s="6" t="s">
        <v>26</v>
      </c>
      <c r="G57" s="6"/>
      <c r="H57" s="6"/>
    </row>
    <row r="58" customFormat="false" ht="15" hidden="false" customHeight="false" outlineLevel="0" collapsed="false">
      <c r="A58" s="5" t="s">
        <v>224</v>
      </c>
      <c r="B58" s="5" t="s">
        <v>249</v>
      </c>
      <c r="C58" s="5" t="s">
        <v>250</v>
      </c>
      <c r="D58" s="5" t="s">
        <v>251</v>
      </c>
      <c r="E58" s="5" t="s">
        <v>252</v>
      </c>
      <c r="F58" s="6" t="s">
        <v>26</v>
      </c>
      <c r="G58" s="6"/>
      <c r="H58" s="6"/>
    </row>
    <row r="59" customFormat="false" ht="26.85" hidden="false" customHeight="false" outlineLevel="0" collapsed="false">
      <c r="A59" s="5" t="s">
        <v>224</v>
      </c>
      <c r="B59" s="5" t="s">
        <v>253</v>
      </c>
      <c r="C59" s="5" t="s">
        <v>254</v>
      </c>
      <c r="D59" s="5" t="s">
        <v>255</v>
      </c>
      <c r="E59" s="5" t="s">
        <v>256</v>
      </c>
      <c r="F59" s="6" t="s">
        <v>26</v>
      </c>
      <c r="G59" s="6"/>
      <c r="H59" s="6"/>
    </row>
    <row r="60" customFormat="false" ht="26.85" hidden="false" customHeight="false" outlineLevel="0" collapsed="false">
      <c r="A60" s="5" t="s">
        <v>257</v>
      </c>
      <c r="B60" s="5" t="s">
        <v>258</v>
      </c>
      <c r="C60" s="5" t="s">
        <v>259</v>
      </c>
      <c r="D60" s="5" t="s">
        <v>260</v>
      </c>
      <c r="E60" s="5" t="s">
        <v>261</v>
      </c>
      <c r="F60" s="6" t="s">
        <v>26</v>
      </c>
      <c r="G60" s="6"/>
      <c r="H60" s="6"/>
    </row>
    <row r="61" customFormat="false" ht="26.85" hidden="false" customHeight="false" outlineLevel="0" collapsed="false">
      <c r="A61" s="5" t="s">
        <v>257</v>
      </c>
      <c r="B61" s="5" t="s">
        <v>262</v>
      </c>
      <c r="C61" s="5" t="s">
        <v>263</v>
      </c>
      <c r="D61" s="5" t="s">
        <v>264</v>
      </c>
      <c r="E61" s="5" t="s">
        <v>265</v>
      </c>
      <c r="F61" s="6" t="s">
        <v>26</v>
      </c>
      <c r="G61" s="6"/>
      <c r="H61" s="6"/>
    </row>
    <row r="62" customFormat="false" ht="39.55" hidden="false" customHeight="false" outlineLevel="0" collapsed="false">
      <c r="A62" s="5" t="s">
        <v>257</v>
      </c>
      <c r="B62" s="5" t="s">
        <v>266</v>
      </c>
      <c r="C62" s="5" t="s">
        <v>267</v>
      </c>
      <c r="D62" s="5" t="s">
        <v>268</v>
      </c>
      <c r="E62" s="5" t="s">
        <v>269</v>
      </c>
      <c r="F62" s="6" t="s">
        <v>26</v>
      </c>
      <c r="G62" s="6"/>
      <c r="H62" s="6"/>
    </row>
    <row r="63" customFormat="false" ht="26.85" hidden="false" customHeight="false" outlineLevel="0" collapsed="false">
      <c r="A63" s="5" t="s">
        <v>257</v>
      </c>
      <c r="B63" s="5" t="s">
        <v>270</v>
      </c>
      <c r="C63" s="5" t="s">
        <v>271</v>
      </c>
      <c r="D63" s="5" t="s">
        <v>272</v>
      </c>
      <c r="E63" s="5" t="s">
        <v>273</v>
      </c>
      <c r="F63" s="6" t="s">
        <v>26</v>
      </c>
      <c r="G63" s="6"/>
      <c r="H63" s="6"/>
    </row>
    <row r="64" customFormat="false" ht="26.85" hidden="false" customHeight="false" outlineLevel="0" collapsed="false">
      <c r="A64" s="5" t="s">
        <v>257</v>
      </c>
      <c r="B64" s="5" t="s">
        <v>274</v>
      </c>
      <c r="C64" s="5" t="s">
        <v>275</v>
      </c>
      <c r="D64" s="5" t="s">
        <v>276</v>
      </c>
      <c r="E64" s="5" t="s">
        <v>277</v>
      </c>
      <c r="F64" s="6" t="s">
        <v>26</v>
      </c>
      <c r="G64" s="6"/>
      <c r="H64" s="6"/>
    </row>
    <row r="65" customFormat="false" ht="26.85" hidden="false" customHeight="false" outlineLevel="0" collapsed="false">
      <c r="A65" s="5" t="s">
        <v>257</v>
      </c>
      <c r="B65" s="5" t="s">
        <v>278</v>
      </c>
      <c r="C65" s="5" t="s">
        <v>279</v>
      </c>
      <c r="D65" s="5" t="s">
        <v>280</v>
      </c>
      <c r="E65" s="5" t="s">
        <v>281</v>
      </c>
      <c r="F65" s="6" t="s">
        <v>26</v>
      </c>
      <c r="G65" s="6"/>
      <c r="H65" s="6"/>
    </row>
    <row r="66" customFormat="false" ht="26.85" hidden="false" customHeight="false" outlineLevel="0" collapsed="false">
      <c r="A66" s="5" t="s">
        <v>257</v>
      </c>
      <c r="B66" s="5" t="s">
        <v>282</v>
      </c>
      <c r="C66" s="5" t="s">
        <v>283</v>
      </c>
      <c r="D66" s="5" t="s">
        <v>284</v>
      </c>
      <c r="E66" s="5" t="s">
        <v>285</v>
      </c>
      <c r="F66" s="6" t="s">
        <v>26</v>
      </c>
      <c r="G66" s="6"/>
      <c r="H66" s="6"/>
    </row>
    <row r="67" customFormat="false" ht="15" hidden="false" customHeight="false" outlineLevel="0" collapsed="false">
      <c r="A67" s="5" t="s">
        <v>257</v>
      </c>
      <c r="B67" s="5" t="s">
        <v>286</v>
      </c>
      <c r="C67" s="5" t="s">
        <v>287</v>
      </c>
      <c r="D67" s="5" t="s">
        <v>288</v>
      </c>
      <c r="E67" s="5" t="s">
        <v>289</v>
      </c>
      <c r="F67" s="6" t="s">
        <v>26</v>
      </c>
      <c r="G67" s="6"/>
      <c r="H67" s="6"/>
    </row>
    <row r="68" customFormat="false" ht="26.85" hidden="false" customHeight="false" outlineLevel="0" collapsed="false">
      <c r="A68" s="5" t="s">
        <v>290</v>
      </c>
      <c r="B68" s="5" t="s">
        <v>291</v>
      </c>
      <c r="C68" s="5" t="s">
        <v>292</v>
      </c>
      <c r="D68" s="5" t="s">
        <v>293</v>
      </c>
      <c r="E68" s="5" t="s">
        <v>294</v>
      </c>
      <c r="F68" s="6" t="s">
        <v>26</v>
      </c>
      <c r="G68" s="6"/>
      <c r="H68" s="6"/>
    </row>
    <row r="69" customFormat="false" ht="26.85" hidden="false" customHeight="false" outlineLevel="0" collapsed="false">
      <c r="A69" s="5" t="s">
        <v>290</v>
      </c>
      <c r="B69" s="5" t="s">
        <v>295</v>
      </c>
      <c r="C69" s="5" t="s">
        <v>296</v>
      </c>
      <c r="D69" s="5" t="s">
        <v>297</v>
      </c>
      <c r="E69" s="5" t="s">
        <v>298</v>
      </c>
      <c r="F69" s="6" t="s">
        <v>26</v>
      </c>
      <c r="G69" s="6"/>
      <c r="H69" s="6"/>
    </row>
    <row r="70" customFormat="false" ht="26.85" hidden="false" customHeight="false" outlineLevel="0" collapsed="false">
      <c r="A70" s="5" t="s">
        <v>290</v>
      </c>
      <c r="B70" s="5" t="s">
        <v>299</v>
      </c>
      <c r="C70" s="5" t="s">
        <v>300</v>
      </c>
      <c r="D70" s="5" t="s">
        <v>301</v>
      </c>
      <c r="E70" s="5" t="s">
        <v>302</v>
      </c>
      <c r="F70" s="6" t="s">
        <v>26</v>
      </c>
      <c r="G70" s="6"/>
      <c r="H70" s="6"/>
    </row>
    <row r="71" customFormat="false" ht="26.85" hidden="false" customHeight="false" outlineLevel="0" collapsed="false">
      <c r="A71" s="5" t="s">
        <v>303</v>
      </c>
      <c r="B71" s="5" t="s">
        <v>304</v>
      </c>
      <c r="C71" s="5" t="s">
        <v>305</v>
      </c>
      <c r="D71" s="5" t="s">
        <v>306</v>
      </c>
      <c r="E71" s="5" t="s">
        <v>307</v>
      </c>
      <c r="F71" s="6" t="s">
        <v>26</v>
      </c>
      <c r="G71" s="6"/>
      <c r="H71" s="6"/>
    </row>
    <row r="72" customFormat="false" ht="15" hidden="false" customHeight="false" outlineLevel="0" collapsed="false">
      <c r="A72" s="5" t="s">
        <v>303</v>
      </c>
      <c r="B72" s="5" t="s">
        <v>308</v>
      </c>
      <c r="C72" s="5" t="s">
        <v>309</v>
      </c>
      <c r="D72" s="5" t="s">
        <v>310</v>
      </c>
      <c r="E72" s="5" t="s">
        <v>311</v>
      </c>
      <c r="F72" s="6" t="s">
        <v>26</v>
      </c>
      <c r="G72" s="6"/>
      <c r="H72" s="6"/>
    </row>
    <row r="73" customFormat="false" ht="15" hidden="false" customHeight="false" outlineLevel="0" collapsed="false">
      <c r="A73" s="5" t="s">
        <v>303</v>
      </c>
      <c r="B73" s="5" t="s">
        <v>312</v>
      </c>
      <c r="C73" s="5" t="s">
        <v>313</v>
      </c>
      <c r="D73" s="5" t="s">
        <v>314</v>
      </c>
      <c r="E73" s="5" t="s">
        <v>315</v>
      </c>
      <c r="F73" s="6" t="s">
        <v>26</v>
      </c>
      <c r="G73" s="6"/>
      <c r="H73" s="6"/>
    </row>
    <row r="74" customFormat="false" ht="26.85" hidden="false" customHeight="false" outlineLevel="0" collapsed="false">
      <c r="A74" s="5" t="s">
        <v>303</v>
      </c>
      <c r="B74" s="5" t="s">
        <v>316</v>
      </c>
      <c r="C74" s="5" t="s">
        <v>317</v>
      </c>
      <c r="D74" s="5" t="s">
        <v>318</v>
      </c>
      <c r="E74" s="5" t="s">
        <v>319</v>
      </c>
      <c r="F74" s="6" t="s">
        <v>26</v>
      </c>
      <c r="G74" s="6"/>
      <c r="H74" s="6"/>
    </row>
    <row r="75" customFormat="false" ht="26.85" hidden="false" customHeight="false" outlineLevel="0" collapsed="false">
      <c r="A75" s="5" t="s">
        <v>303</v>
      </c>
      <c r="B75" s="5" t="s">
        <v>320</v>
      </c>
      <c r="C75" s="5" t="s">
        <v>321</v>
      </c>
      <c r="D75" s="5" t="s">
        <v>322</v>
      </c>
      <c r="E75" s="5" t="s">
        <v>323</v>
      </c>
      <c r="F75" s="6" t="s">
        <v>26</v>
      </c>
      <c r="G75" s="6"/>
      <c r="H75" s="6"/>
    </row>
    <row r="76" customFormat="false" ht="26.85" hidden="false" customHeight="false" outlineLevel="0" collapsed="false">
      <c r="A76" s="5" t="s">
        <v>303</v>
      </c>
      <c r="B76" s="5" t="s">
        <v>324</v>
      </c>
      <c r="C76" s="5" t="s">
        <v>325</v>
      </c>
      <c r="D76" s="5" t="s">
        <v>326</v>
      </c>
      <c r="E76" s="5" t="s">
        <v>327</v>
      </c>
      <c r="F76" s="6" t="s">
        <v>26</v>
      </c>
      <c r="G76" s="6"/>
      <c r="H76" s="6"/>
    </row>
    <row r="77" customFormat="false" ht="26.85" hidden="false" customHeight="false" outlineLevel="0" collapsed="false">
      <c r="A77" s="5" t="s">
        <v>303</v>
      </c>
      <c r="B77" s="5" t="s">
        <v>328</v>
      </c>
      <c r="C77" s="5" t="s">
        <v>329</v>
      </c>
      <c r="D77" s="5" t="s">
        <v>330</v>
      </c>
      <c r="E77" s="5" t="s">
        <v>331</v>
      </c>
      <c r="F77" s="6" t="s">
        <v>26</v>
      </c>
      <c r="G77" s="6"/>
      <c r="H77" s="6"/>
    </row>
    <row r="78" customFormat="false" ht="26.85" hidden="false" customHeight="false" outlineLevel="0" collapsed="false">
      <c r="A78" s="5" t="s">
        <v>303</v>
      </c>
      <c r="B78" s="5" t="s">
        <v>332</v>
      </c>
      <c r="C78" s="5" t="s">
        <v>333</v>
      </c>
      <c r="D78" s="5" t="s">
        <v>334</v>
      </c>
      <c r="E78" s="5" t="s">
        <v>335</v>
      </c>
      <c r="F78" s="6" t="s">
        <v>26</v>
      </c>
      <c r="G78" s="6"/>
      <c r="H78" s="6"/>
    </row>
    <row r="79" customFormat="false" ht="39.55" hidden="false" customHeight="false" outlineLevel="0" collapsed="false">
      <c r="A79" s="5" t="s">
        <v>303</v>
      </c>
      <c r="B79" s="5" t="s">
        <v>336</v>
      </c>
      <c r="C79" s="5" t="s">
        <v>337</v>
      </c>
      <c r="D79" s="5" t="s">
        <v>338</v>
      </c>
      <c r="E79" s="5" t="s">
        <v>339</v>
      </c>
      <c r="F79" s="6" t="s">
        <v>26</v>
      </c>
      <c r="G79" s="6"/>
      <c r="H79" s="6"/>
    </row>
    <row r="80" customFormat="false" ht="26.85" hidden="false" customHeight="false" outlineLevel="0" collapsed="false">
      <c r="A80" s="5" t="s">
        <v>303</v>
      </c>
      <c r="B80" s="5" t="s">
        <v>340</v>
      </c>
      <c r="C80" s="5" t="s">
        <v>341</v>
      </c>
      <c r="D80" s="5" t="s">
        <v>342</v>
      </c>
      <c r="E80" s="5" t="s">
        <v>343</v>
      </c>
      <c r="F80" s="6" t="s">
        <v>26</v>
      </c>
      <c r="G80" s="6"/>
      <c r="H80" s="6"/>
    </row>
  </sheetData>
  <autoFilter ref="A1:H80"/>
  <conditionalFormatting sqref="F2:F80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Style="stop" operator="between" showDropDown="false" showErrorMessage="false" showInputMessage="false" sqref="F2:F8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7" t="s">
        <v>344</v>
      </c>
    </row>
    <row r="3" customFormat="false" ht="15" hidden="false" customHeight="false" outlineLevel="0" collapsed="false">
      <c r="A3" s="4" t="s">
        <v>7</v>
      </c>
      <c r="B3" s="4" t="s">
        <v>345</v>
      </c>
      <c r="C3" s="4" t="s">
        <v>16</v>
      </c>
      <c r="D3" s="4" t="s">
        <v>346</v>
      </c>
      <c r="E3" s="4" t="s">
        <v>347</v>
      </c>
      <c r="F3" s="4" t="s">
        <v>26</v>
      </c>
      <c r="G3" s="4" t="s">
        <v>348</v>
      </c>
    </row>
    <row r="4" customFormat="false" ht="15" hidden="false" customHeight="false" outlineLevel="0" collapsed="false">
      <c r="A4" s="8" t="s">
        <v>21</v>
      </c>
      <c r="B4" s="8" t="n">
        <f aca="false">COUNTIF('Test Cases'!$A$2:$A$80,A4)</f>
        <v>5</v>
      </c>
      <c r="C4" s="8" t="n">
        <f aca="false">COUNTIFS('Test Cases'!$A$2:$A$80,$A4,'Test Cases'!$F$2:$F$80,"PASS")</f>
        <v>0</v>
      </c>
      <c r="D4" s="8" t="n">
        <f aca="false">COUNTIFS('Test Cases'!$A$2:$A$80,$A4,'Test Cases'!$F$2:$F$80,"FAIL")</f>
        <v>0</v>
      </c>
      <c r="E4" s="8" t="n">
        <f aca="false">COUNTIFS('Test Cases'!$A$2:$A$80,$A4,'Test Cases'!$F$2:$F$80,"BLOCKED")</f>
        <v>0</v>
      </c>
      <c r="F4" s="8" t="n">
        <f aca="false">COUNTIFS('Test Cases'!$A$2:$A$80,$A4,'Test Cases'!$F$2:$F$80,"NOT RUN")</f>
        <v>5</v>
      </c>
      <c r="G4" s="9" t="n">
        <f aca="false">IF(B4=0,0,C4/B4)</f>
        <v>0</v>
      </c>
    </row>
    <row r="5" customFormat="false" ht="15" hidden="false" customHeight="false" outlineLevel="0" collapsed="false">
      <c r="A5" s="8" t="s">
        <v>43</v>
      </c>
      <c r="B5" s="8" t="n">
        <f aca="false">COUNTIF('Test Cases'!$A$2:$A$80,A5)</f>
        <v>12</v>
      </c>
      <c r="C5" s="8" t="n">
        <f aca="false">COUNTIFS('Test Cases'!$A$2:$A$80,$A5,'Test Cases'!$F$2:$F$80,"PASS")</f>
        <v>0</v>
      </c>
      <c r="D5" s="8" t="n">
        <f aca="false">COUNTIFS('Test Cases'!$A$2:$A$80,$A5,'Test Cases'!$F$2:$F$80,"FAIL")</f>
        <v>0</v>
      </c>
      <c r="E5" s="8" t="n">
        <f aca="false">COUNTIFS('Test Cases'!$A$2:$A$80,$A5,'Test Cases'!$F$2:$F$80,"BLOCKED")</f>
        <v>0</v>
      </c>
      <c r="F5" s="8" t="n">
        <f aca="false">COUNTIFS('Test Cases'!$A$2:$A$80,$A5,'Test Cases'!$F$2:$F$80,"NOT RUN")</f>
        <v>12</v>
      </c>
      <c r="G5" s="9" t="n">
        <f aca="false">IF(B5=0,0,C5/B5)</f>
        <v>0</v>
      </c>
    </row>
    <row r="6" customFormat="false" ht="15" hidden="false" customHeight="false" outlineLevel="0" collapsed="false">
      <c r="A6" s="8" t="s">
        <v>92</v>
      </c>
      <c r="B6" s="8" t="n">
        <f aca="false">COUNTIF('Test Cases'!$A$2:$A$80,A6)</f>
        <v>7</v>
      </c>
      <c r="C6" s="8" t="n">
        <f aca="false">COUNTIFS('Test Cases'!$A$2:$A$80,$A6,'Test Cases'!$F$2:$F$80,"PASS")</f>
        <v>0</v>
      </c>
      <c r="D6" s="8" t="n">
        <f aca="false">COUNTIFS('Test Cases'!$A$2:$A$80,$A6,'Test Cases'!$F$2:$F$80,"FAIL")</f>
        <v>0</v>
      </c>
      <c r="E6" s="8" t="n">
        <f aca="false">COUNTIFS('Test Cases'!$A$2:$A$80,$A6,'Test Cases'!$F$2:$F$80,"BLOCKED")</f>
        <v>0</v>
      </c>
      <c r="F6" s="8" t="n">
        <f aca="false">COUNTIFS('Test Cases'!$A$2:$A$80,$A6,'Test Cases'!$F$2:$F$80,"NOT RUN")</f>
        <v>7</v>
      </c>
      <c r="G6" s="9" t="n">
        <f aca="false">IF(B6=0,0,C6/B6)</f>
        <v>0</v>
      </c>
    </row>
    <row r="7" customFormat="false" ht="15" hidden="false" customHeight="false" outlineLevel="0" collapsed="false">
      <c r="A7" s="8" t="s">
        <v>120</v>
      </c>
      <c r="B7" s="8" t="n">
        <f aca="false">COUNTIF('Test Cases'!$A$2:$A$80,A7)</f>
        <v>9</v>
      </c>
      <c r="C7" s="8" t="n">
        <f aca="false">COUNTIFS('Test Cases'!$A$2:$A$80,$A7,'Test Cases'!$F$2:$F$80,"PASS")</f>
        <v>0</v>
      </c>
      <c r="D7" s="8" t="n">
        <f aca="false">COUNTIFS('Test Cases'!$A$2:$A$80,$A7,'Test Cases'!$F$2:$F$80,"FAIL")</f>
        <v>0</v>
      </c>
      <c r="E7" s="8" t="n">
        <f aca="false">COUNTIFS('Test Cases'!$A$2:$A$80,$A7,'Test Cases'!$F$2:$F$80,"BLOCKED")</f>
        <v>0</v>
      </c>
      <c r="F7" s="8" t="n">
        <f aca="false">COUNTIFS('Test Cases'!$A$2:$A$80,$A7,'Test Cases'!$F$2:$F$80,"NOT RUN")</f>
        <v>9</v>
      </c>
      <c r="G7" s="9" t="n">
        <f aca="false">IF(B7=0,0,C7/B7)</f>
        <v>0</v>
      </c>
    </row>
    <row r="8" customFormat="false" ht="15" hidden="false" customHeight="false" outlineLevel="0" collapsed="false">
      <c r="A8" s="8" t="s">
        <v>13</v>
      </c>
      <c r="B8" s="8" t="n">
        <f aca="false">COUNTIF('Test Cases'!$A$2:$A$80,A8)</f>
        <v>9</v>
      </c>
      <c r="C8" s="8" t="n">
        <f aca="false">COUNTIFS('Test Cases'!$A$2:$A$80,$A8,'Test Cases'!$F$2:$F$80,"PASS")</f>
        <v>0</v>
      </c>
      <c r="D8" s="8" t="n">
        <f aca="false">COUNTIFS('Test Cases'!$A$2:$A$80,$A8,'Test Cases'!$F$2:$F$80,"FAIL")</f>
        <v>0</v>
      </c>
      <c r="E8" s="8" t="n">
        <f aca="false">COUNTIFS('Test Cases'!$A$2:$A$80,$A8,'Test Cases'!$F$2:$F$80,"BLOCKED")</f>
        <v>0</v>
      </c>
      <c r="F8" s="8" t="n">
        <f aca="false">COUNTIFS('Test Cases'!$A$2:$A$80,$A8,'Test Cases'!$F$2:$F$80,"NOT RUN")</f>
        <v>9</v>
      </c>
      <c r="G8" s="9" t="n">
        <f aca="false">IF(B8=0,0,C8/B8)</f>
        <v>0</v>
      </c>
    </row>
    <row r="9" customFormat="false" ht="15" hidden="false" customHeight="false" outlineLevel="0" collapsed="false">
      <c r="A9" s="8" t="s">
        <v>191</v>
      </c>
      <c r="B9" s="8" t="n">
        <f aca="false">COUNTIF('Test Cases'!$A$2:$A$80,A9)</f>
        <v>8</v>
      </c>
      <c r="C9" s="8" t="n">
        <f aca="false">COUNTIFS('Test Cases'!$A$2:$A$80,$A9,'Test Cases'!$F$2:$F$80,"PASS")</f>
        <v>0</v>
      </c>
      <c r="D9" s="8" t="n">
        <f aca="false">COUNTIFS('Test Cases'!$A$2:$A$80,$A9,'Test Cases'!$F$2:$F$80,"FAIL")</f>
        <v>0</v>
      </c>
      <c r="E9" s="8" t="n">
        <f aca="false">COUNTIFS('Test Cases'!$A$2:$A$80,$A9,'Test Cases'!$F$2:$F$80,"BLOCKED")</f>
        <v>0</v>
      </c>
      <c r="F9" s="8" t="n">
        <f aca="false">COUNTIFS('Test Cases'!$A$2:$A$80,$A9,'Test Cases'!$F$2:$F$80,"NOT RUN")</f>
        <v>8</v>
      </c>
      <c r="G9" s="9" t="n">
        <f aca="false">IF(B9=0,0,C9/B9)</f>
        <v>0</v>
      </c>
    </row>
    <row r="10" customFormat="false" ht="15" hidden="false" customHeight="false" outlineLevel="0" collapsed="false">
      <c r="A10" s="8" t="s">
        <v>224</v>
      </c>
      <c r="B10" s="8" t="n">
        <f aca="false">COUNTIF('Test Cases'!$A$2:$A$80,A10)</f>
        <v>8</v>
      </c>
      <c r="C10" s="8" t="n">
        <f aca="false">COUNTIFS('Test Cases'!$A$2:$A$80,$A10,'Test Cases'!$F$2:$F$80,"PASS")</f>
        <v>0</v>
      </c>
      <c r="D10" s="8" t="n">
        <f aca="false">COUNTIFS('Test Cases'!$A$2:$A$80,$A10,'Test Cases'!$F$2:$F$80,"FAIL")</f>
        <v>0</v>
      </c>
      <c r="E10" s="8" t="n">
        <f aca="false">COUNTIFS('Test Cases'!$A$2:$A$80,$A10,'Test Cases'!$F$2:$F$80,"BLOCKED")</f>
        <v>0</v>
      </c>
      <c r="F10" s="8" t="n">
        <f aca="false">COUNTIFS('Test Cases'!$A$2:$A$80,$A10,'Test Cases'!$F$2:$F$80,"NOT RUN")</f>
        <v>8</v>
      </c>
      <c r="G10" s="9" t="n">
        <f aca="false">IF(B10=0,0,C10/B10)</f>
        <v>0</v>
      </c>
    </row>
    <row r="11" customFormat="false" ht="15" hidden="false" customHeight="false" outlineLevel="0" collapsed="false">
      <c r="A11" s="8" t="s">
        <v>257</v>
      </c>
      <c r="B11" s="8" t="n">
        <f aca="false">COUNTIF('Test Cases'!$A$2:$A$80,A11)</f>
        <v>8</v>
      </c>
      <c r="C11" s="8" t="n">
        <f aca="false">COUNTIFS('Test Cases'!$A$2:$A$80,$A11,'Test Cases'!$F$2:$F$80,"PASS")</f>
        <v>0</v>
      </c>
      <c r="D11" s="8" t="n">
        <f aca="false">COUNTIFS('Test Cases'!$A$2:$A$80,$A11,'Test Cases'!$F$2:$F$80,"FAIL")</f>
        <v>0</v>
      </c>
      <c r="E11" s="8" t="n">
        <f aca="false">COUNTIFS('Test Cases'!$A$2:$A$80,$A11,'Test Cases'!$F$2:$F$80,"BLOCKED")</f>
        <v>0</v>
      </c>
      <c r="F11" s="8" t="n">
        <f aca="false">COUNTIFS('Test Cases'!$A$2:$A$80,$A11,'Test Cases'!$F$2:$F$80,"NOT RUN")</f>
        <v>8</v>
      </c>
      <c r="G11" s="9" t="n">
        <f aca="false">IF(B11=0,0,C11/B11)</f>
        <v>0</v>
      </c>
    </row>
    <row r="12" customFormat="false" ht="15" hidden="false" customHeight="false" outlineLevel="0" collapsed="false">
      <c r="A12" s="8" t="s">
        <v>290</v>
      </c>
      <c r="B12" s="8" t="n">
        <f aca="false">COUNTIF('Test Cases'!$A$2:$A$80,A12)</f>
        <v>3</v>
      </c>
      <c r="C12" s="8" t="n">
        <f aca="false">COUNTIFS('Test Cases'!$A$2:$A$80,$A12,'Test Cases'!$F$2:$F$80,"PASS")</f>
        <v>0</v>
      </c>
      <c r="D12" s="8" t="n">
        <f aca="false">COUNTIFS('Test Cases'!$A$2:$A$80,$A12,'Test Cases'!$F$2:$F$80,"FAIL")</f>
        <v>0</v>
      </c>
      <c r="E12" s="8" t="n">
        <f aca="false">COUNTIFS('Test Cases'!$A$2:$A$80,$A12,'Test Cases'!$F$2:$F$80,"BLOCKED")</f>
        <v>0</v>
      </c>
      <c r="F12" s="8" t="n">
        <f aca="false">COUNTIFS('Test Cases'!$A$2:$A$80,$A12,'Test Cases'!$F$2:$F$80,"NOT RUN")</f>
        <v>3</v>
      </c>
      <c r="G12" s="9" t="n">
        <f aca="false">IF(B12=0,0,C12/B12)</f>
        <v>0</v>
      </c>
    </row>
    <row r="13" customFormat="false" ht="15" hidden="false" customHeight="false" outlineLevel="0" collapsed="false">
      <c r="A13" s="8" t="s">
        <v>303</v>
      </c>
      <c r="B13" s="8" t="n">
        <f aca="false">COUNTIF('Test Cases'!$A$2:$A$80,A13)</f>
        <v>10</v>
      </c>
      <c r="C13" s="8" t="n">
        <f aca="false">COUNTIFS('Test Cases'!$A$2:$A$80,$A13,'Test Cases'!$F$2:$F$80,"PASS")</f>
        <v>0</v>
      </c>
      <c r="D13" s="8" t="n">
        <f aca="false">COUNTIFS('Test Cases'!$A$2:$A$80,$A13,'Test Cases'!$F$2:$F$80,"FAIL")</f>
        <v>0</v>
      </c>
      <c r="E13" s="8" t="n">
        <f aca="false">COUNTIFS('Test Cases'!$A$2:$A$80,$A13,'Test Cases'!$F$2:$F$80,"BLOCKED")</f>
        <v>0</v>
      </c>
      <c r="F13" s="8" t="n">
        <f aca="false">COUNTIFS('Test Cases'!$A$2:$A$80,$A13,'Test Cases'!$F$2:$F$80,"NOT RUN")</f>
        <v>10</v>
      </c>
      <c r="G13" s="9" t="n">
        <f aca="false">IF(B13=0,0,C13/B13)</f>
        <v>0</v>
      </c>
    </row>
    <row r="14" customFormat="false" ht="15" hidden="false" customHeight="false" outlineLevel="0" collapsed="false">
      <c r="A14" s="10" t="s">
        <v>349</v>
      </c>
      <c r="B14" s="10" t="n">
        <f aca="false">SUM(B4:B13)</f>
        <v>79</v>
      </c>
      <c r="C14" s="10" t="n">
        <f aca="false">SUM(C4:C13)</f>
        <v>0</v>
      </c>
      <c r="D14" s="10" t="n">
        <f aca="false">SUM(D4:D13)</f>
        <v>0</v>
      </c>
      <c r="E14" s="10" t="n">
        <f aca="false">SUM(E4:E13)</f>
        <v>0</v>
      </c>
      <c r="F14" s="10" t="n">
        <f aca="false">SUM(F4:F13)</f>
        <v>79</v>
      </c>
      <c r="G14" s="11" t="n">
        <f aca="false">IF(B14=0,0,C14/B14)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2026-10-01T09:30:32Z</dcterms:created>
  <dc:creator>openpyxl</dc:creator>
  <dc:description/>
  <dc:language>en-US</dc:language>
  <cp:lastModifiedBy/>
  <dcterms:modified xsi:type="dcterms:W3CDTF">2026-10-01T09:30:32Z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